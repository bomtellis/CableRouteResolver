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mbe\Documents\CableRouteResolver\outputs\019fb7a1-aaf6-7cf2-984c-d16ac1cce130\"/>
    </mc:Choice>
  </mc:AlternateContent>
  <xr:revisionPtr revIDLastSave="0" documentId="13_ncr:1_{5A6F4E92-FDFA-4377-876B-E9B3B824407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ummary" sheetId="1" r:id="rId1"/>
    <sheet name="Assumptions" sheetId="2" r:id="rId2"/>
    <sheet name="Category Model" sheetId="3" r:id="rId3"/>
    <sheet name="Sources" sheetId="5" r:id="rId4"/>
    <sheet name="PoE Model" sheetId="6" r:id="rId5"/>
    <sheet name="Decision Guide" sheetId="4" r:id="rId6"/>
    <sheet name="Check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7" l="1"/>
  <c r="C8" i="7"/>
  <c r="E7" i="7"/>
  <c r="C7" i="7"/>
  <c r="B7" i="7"/>
  <c r="D7" i="7" s="1"/>
  <c r="F7" i="7" s="1"/>
  <c r="E6" i="7"/>
  <c r="C6" i="7"/>
  <c r="E5" i="7"/>
  <c r="C5" i="7"/>
  <c r="P21" i="6"/>
  <c r="G14" i="1" s="1"/>
  <c r="Z14" i="1" s="1"/>
  <c r="O21" i="6"/>
  <c r="N21" i="6"/>
  <c r="M21" i="6"/>
  <c r="L21" i="6"/>
  <c r="D21" i="6"/>
  <c r="B21" i="6"/>
  <c r="A21" i="6"/>
  <c r="P20" i="6"/>
  <c r="G29" i="1" s="1"/>
  <c r="Z29" i="1" s="1"/>
  <c r="O20" i="6"/>
  <c r="N20" i="6"/>
  <c r="M20" i="6"/>
  <c r="L20" i="6"/>
  <c r="D20" i="6"/>
  <c r="C20" i="6"/>
  <c r="B20" i="6"/>
  <c r="A20" i="6"/>
  <c r="P19" i="6"/>
  <c r="G28" i="1" s="1"/>
  <c r="Z28" i="1" s="1"/>
  <c r="O19" i="6"/>
  <c r="N19" i="6"/>
  <c r="M19" i="6"/>
  <c r="L19" i="6"/>
  <c r="D19" i="6"/>
  <c r="C19" i="6"/>
  <c r="B19" i="6"/>
  <c r="A19" i="6"/>
  <c r="P18" i="6"/>
  <c r="G27" i="1" s="1"/>
  <c r="Z27" i="1" s="1"/>
  <c r="O18" i="6"/>
  <c r="N18" i="6"/>
  <c r="M18" i="6"/>
  <c r="L18" i="6"/>
  <c r="D18" i="6"/>
  <c r="C18" i="6"/>
  <c r="B18" i="6"/>
  <c r="A18" i="6"/>
  <c r="P17" i="6"/>
  <c r="G26" i="1" s="1"/>
  <c r="Z26" i="1" s="1"/>
  <c r="O17" i="6"/>
  <c r="N17" i="6"/>
  <c r="M17" i="6"/>
  <c r="L17" i="6"/>
  <c r="D17" i="6"/>
  <c r="C17" i="6"/>
  <c r="B17" i="6"/>
  <c r="A17" i="6"/>
  <c r="P16" i="6"/>
  <c r="G25" i="1" s="1"/>
  <c r="Z25" i="1" s="1"/>
  <c r="O16" i="6"/>
  <c r="N16" i="6"/>
  <c r="M16" i="6"/>
  <c r="L16" i="6"/>
  <c r="D16" i="6"/>
  <c r="C16" i="6"/>
  <c r="B16" i="6"/>
  <c r="A16" i="6"/>
  <c r="P15" i="6"/>
  <c r="G24" i="1" s="1"/>
  <c r="Z24" i="1" s="1"/>
  <c r="O15" i="6"/>
  <c r="N15" i="6"/>
  <c r="M15" i="6"/>
  <c r="L15" i="6"/>
  <c r="D15" i="6"/>
  <c r="C15" i="6"/>
  <c r="B15" i="6"/>
  <c r="A15" i="6"/>
  <c r="P14" i="6"/>
  <c r="G23" i="1" s="1"/>
  <c r="Z23" i="1" s="1"/>
  <c r="O14" i="6"/>
  <c r="N14" i="6"/>
  <c r="M14" i="6"/>
  <c r="L14" i="6"/>
  <c r="D14" i="6"/>
  <c r="C14" i="6"/>
  <c r="B14" i="6"/>
  <c r="A14" i="6"/>
  <c r="P13" i="6"/>
  <c r="G22" i="1" s="1"/>
  <c r="Z22" i="1" s="1"/>
  <c r="O13" i="6"/>
  <c r="N13" i="6"/>
  <c r="M13" i="6"/>
  <c r="L13" i="6"/>
  <c r="D13" i="6"/>
  <c r="C13" i="6"/>
  <c r="B13" i="6"/>
  <c r="A13" i="6"/>
  <c r="P12" i="6"/>
  <c r="G21" i="1" s="1"/>
  <c r="Z21" i="1" s="1"/>
  <c r="O12" i="6"/>
  <c r="N12" i="6"/>
  <c r="M12" i="6"/>
  <c r="L12" i="6"/>
  <c r="D12" i="6"/>
  <c r="C12" i="6"/>
  <c r="B12" i="6"/>
  <c r="A12" i="6"/>
  <c r="P11" i="6"/>
  <c r="G20" i="1" s="1"/>
  <c r="Z20" i="1" s="1"/>
  <c r="O11" i="6"/>
  <c r="N11" i="6"/>
  <c r="M11" i="6"/>
  <c r="L11" i="6"/>
  <c r="D11" i="6"/>
  <c r="C11" i="6"/>
  <c r="B11" i="6"/>
  <c r="A11" i="6"/>
  <c r="P10" i="6"/>
  <c r="G19" i="1" s="1"/>
  <c r="Z19" i="1" s="1"/>
  <c r="O10" i="6"/>
  <c r="N10" i="6"/>
  <c r="M10" i="6"/>
  <c r="L10" i="6"/>
  <c r="D10" i="6"/>
  <c r="C10" i="6"/>
  <c r="B10" i="6"/>
  <c r="A10" i="6"/>
  <c r="P9" i="6"/>
  <c r="G18" i="1" s="1"/>
  <c r="Z18" i="1" s="1"/>
  <c r="O9" i="6"/>
  <c r="N9" i="6"/>
  <c r="M9" i="6"/>
  <c r="L9" i="6"/>
  <c r="D9" i="6"/>
  <c r="C9" i="6"/>
  <c r="B9" i="6"/>
  <c r="A9" i="6"/>
  <c r="P8" i="6"/>
  <c r="G17" i="1" s="1"/>
  <c r="Z17" i="1" s="1"/>
  <c r="O8" i="6"/>
  <c r="N8" i="6"/>
  <c r="M8" i="6"/>
  <c r="L8" i="6"/>
  <c r="D8" i="6"/>
  <c r="C8" i="6"/>
  <c r="B8" i="6"/>
  <c r="A8" i="6"/>
  <c r="P7" i="6"/>
  <c r="G16" i="1" s="1"/>
  <c r="Z16" i="1" s="1"/>
  <c r="O7" i="6"/>
  <c r="N7" i="6"/>
  <c r="M7" i="6"/>
  <c r="L7" i="6"/>
  <c r="D7" i="6"/>
  <c r="C7" i="6"/>
  <c r="B7" i="6"/>
  <c r="A7" i="6"/>
  <c r="P6" i="6"/>
  <c r="G15" i="1" s="1"/>
  <c r="Z15" i="1" s="1"/>
  <c r="O6" i="6"/>
  <c r="N6" i="6"/>
  <c r="M6" i="6"/>
  <c r="L6" i="6"/>
  <c r="D6" i="6"/>
  <c r="C6" i="6"/>
  <c r="B6" i="6"/>
  <c r="A6" i="6"/>
  <c r="D5" i="6"/>
  <c r="M5" i="6" s="1"/>
  <c r="C5" i="6"/>
  <c r="B5" i="6"/>
  <c r="A5" i="6"/>
  <c r="D6" i="5"/>
  <c r="D5" i="5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AE20" i="3"/>
  <c r="AD20" i="3"/>
  <c r="AC20" i="3"/>
  <c r="AB20" i="3"/>
  <c r="AA20" i="3"/>
  <c r="Z20" i="3"/>
  <c r="F29" i="1" s="1"/>
  <c r="Y29" i="1" s="1"/>
  <c r="Y20" i="3"/>
  <c r="X20" i="3"/>
  <c r="W20" i="3"/>
  <c r="V20" i="3"/>
  <c r="U20" i="3"/>
  <c r="E29" i="1" s="1"/>
  <c r="X29" i="1" s="1"/>
  <c r="T20" i="3"/>
  <c r="S20" i="3"/>
  <c r="R20" i="3"/>
  <c r="Q20" i="3"/>
  <c r="P20" i="3"/>
  <c r="AE19" i="3"/>
  <c r="AD19" i="3"/>
  <c r="AC19" i="3"/>
  <c r="AB19" i="3"/>
  <c r="AA19" i="3"/>
  <c r="Z19" i="3"/>
  <c r="Y19" i="3"/>
  <c r="X19" i="3"/>
  <c r="W19" i="3"/>
  <c r="V19" i="3"/>
  <c r="U19" i="3"/>
  <c r="E28" i="1" s="1"/>
  <c r="T19" i="3"/>
  <c r="S19" i="3"/>
  <c r="R19" i="3"/>
  <c r="Q19" i="3"/>
  <c r="P19" i="3"/>
  <c r="AE18" i="3"/>
  <c r="AD18" i="3"/>
  <c r="AC18" i="3"/>
  <c r="AB18" i="3"/>
  <c r="AA18" i="3"/>
  <c r="Z18" i="3"/>
  <c r="F27" i="1" s="1"/>
  <c r="Y27" i="1" s="1"/>
  <c r="Y18" i="3"/>
  <c r="X18" i="3"/>
  <c r="W18" i="3"/>
  <c r="V18" i="3"/>
  <c r="U18" i="3"/>
  <c r="E27" i="1" s="1"/>
  <c r="T18" i="3"/>
  <c r="S18" i="3"/>
  <c r="R18" i="3"/>
  <c r="Q18" i="3"/>
  <c r="P18" i="3"/>
  <c r="AE17" i="3"/>
  <c r="AD17" i="3"/>
  <c r="AC17" i="3"/>
  <c r="AB17" i="3"/>
  <c r="AA17" i="3"/>
  <c r="Z17" i="3"/>
  <c r="F26" i="1" s="1"/>
  <c r="Y26" i="1" s="1"/>
  <c r="Y17" i="3"/>
  <c r="X17" i="3"/>
  <c r="W17" i="3"/>
  <c r="V17" i="3"/>
  <c r="U17" i="3"/>
  <c r="E26" i="1" s="1"/>
  <c r="T17" i="3"/>
  <c r="S17" i="3"/>
  <c r="R17" i="3"/>
  <c r="Q17" i="3"/>
  <c r="P17" i="3"/>
  <c r="AE16" i="3"/>
  <c r="AD16" i="3"/>
  <c r="AC16" i="3"/>
  <c r="AB16" i="3"/>
  <c r="AA16" i="3"/>
  <c r="Z16" i="3"/>
  <c r="F25" i="1" s="1"/>
  <c r="Y25" i="1" s="1"/>
  <c r="Y16" i="3"/>
  <c r="X16" i="3"/>
  <c r="W16" i="3"/>
  <c r="V16" i="3"/>
  <c r="U16" i="3"/>
  <c r="E25" i="1" s="1"/>
  <c r="T16" i="3"/>
  <c r="S16" i="3"/>
  <c r="R16" i="3"/>
  <c r="Q16" i="3"/>
  <c r="P16" i="3"/>
  <c r="AE15" i="3"/>
  <c r="AD15" i="3"/>
  <c r="AC15" i="3"/>
  <c r="AB15" i="3"/>
  <c r="AA15" i="3"/>
  <c r="Z15" i="3"/>
  <c r="F24" i="1" s="1"/>
  <c r="Y24" i="1" s="1"/>
  <c r="Y15" i="3"/>
  <c r="X15" i="3"/>
  <c r="W15" i="3"/>
  <c r="V15" i="3"/>
  <c r="U15" i="3"/>
  <c r="E24" i="1" s="1"/>
  <c r="T15" i="3"/>
  <c r="S15" i="3"/>
  <c r="R15" i="3"/>
  <c r="Q15" i="3"/>
  <c r="P15" i="3"/>
  <c r="AE14" i="3"/>
  <c r="AD14" i="3"/>
  <c r="AC14" i="3"/>
  <c r="AB14" i="3"/>
  <c r="AA14" i="3"/>
  <c r="Z14" i="3"/>
  <c r="F23" i="1" s="1"/>
  <c r="Y23" i="1" s="1"/>
  <c r="Y14" i="3"/>
  <c r="X14" i="3"/>
  <c r="W14" i="3"/>
  <c r="V14" i="3"/>
  <c r="U14" i="3"/>
  <c r="E23" i="1" s="1"/>
  <c r="T14" i="3"/>
  <c r="S14" i="3"/>
  <c r="R14" i="3"/>
  <c r="Q14" i="3"/>
  <c r="P14" i="3"/>
  <c r="AE13" i="3"/>
  <c r="AD13" i="3"/>
  <c r="AC13" i="3"/>
  <c r="AB13" i="3"/>
  <c r="AA13" i="3"/>
  <c r="Z13" i="3"/>
  <c r="F22" i="1" s="1"/>
  <c r="Y22" i="1" s="1"/>
  <c r="Y13" i="3"/>
  <c r="X13" i="3"/>
  <c r="W13" i="3"/>
  <c r="V13" i="3"/>
  <c r="U13" i="3"/>
  <c r="E22" i="1" s="1"/>
  <c r="T13" i="3"/>
  <c r="S13" i="3"/>
  <c r="R13" i="3"/>
  <c r="Q13" i="3"/>
  <c r="P13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AE8" i="3"/>
  <c r="AD8" i="3"/>
  <c r="AC8" i="3"/>
  <c r="AB8" i="3"/>
  <c r="AA8" i="3"/>
  <c r="Z8" i="3"/>
  <c r="Y8" i="3"/>
  <c r="X8" i="3"/>
  <c r="W8" i="3"/>
  <c r="V8" i="3"/>
  <c r="U8" i="3"/>
  <c r="E17" i="1" s="1"/>
  <c r="T8" i="3"/>
  <c r="S8" i="3"/>
  <c r="R8" i="3"/>
  <c r="Q8" i="3"/>
  <c r="P8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X5" i="3"/>
  <c r="W5" i="3"/>
  <c r="V5" i="3"/>
  <c r="S5" i="3"/>
  <c r="R5" i="3"/>
  <c r="Q5" i="3"/>
  <c r="P5" i="3"/>
  <c r="H29" i="1"/>
  <c r="D29" i="1"/>
  <c r="C29" i="1"/>
  <c r="B29" i="1"/>
  <c r="A29" i="1"/>
  <c r="W29" i="1" s="1"/>
  <c r="H28" i="1"/>
  <c r="F28" i="1"/>
  <c r="Y28" i="1" s="1"/>
  <c r="D28" i="1"/>
  <c r="U28" i="1" s="1"/>
  <c r="C28" i="1"/>
  <c r="B28" i="1"/>
  <c r="A28" i="1"/>
  <c r="H27" i="1"/>
  <c r="D27" i="1"/>
  <c r="U27" i="1" s="1"/>
  <c r="C27" i="1"/>
  <c r="B27" i="1"/>
  <c r="A27" i="1"/>
  <c r="H26" i="1"/>
  <c r="D26" i="1"/>
  <c r="U26" i="1" s="1"/>
  <c r="C26" i="1"/>
  <c r="B26" i="1"/>
  <c r="A26" i="1"/>
  <c r="H25" i="1"/>
  <c r="D25" i="1"/>
  <c r="U25" i="1" s="1"/>
  <c r="C25" i="1"/>
  <c r="B25" i="1"/>
  <c r="A25" i="1"/>
  <c r="H24" i="1"/>
  <c r="D24" i="1"/>
  <c r="U24" i="1" s="1"/>
  <c r="C24" i="1"/>
  <c r="B24" i="1"/>
  <c r="A24" i="1"/>
  <c r="H23" i="1"/>
  <c r="D23" i="1"/>
  <c r="U23" i="1" s="1"/>
  <c r="C23" i="1"/>
  <c r="B23" i="1"/>
  <c r="A23" i="1"/>
  <c r="H22" i="1"/>
  <c r="D22" i="1"/>
  <c r="U22" i="1" s="1"/>
  <c r="C22" i="1"/>
  <c r="B22" i="1"/>
  <c r="A22" i="1"/>
  <c r="H21" i="1"/>
  <c r="F21" i="1"/>
  <c r="Y21" i="1" s="1"/>
  <c r="E21" i="1"/>
  <c r="D21" i="1"/>
  <c r="U21" i="1" s="1"/>
  <c r="C21" i="1"/>
  <c r="B21" i="1"/>
  <c r="A21" i="1"/>
  <c r="H20" i="1"/>
  <c r="F20" i="1"/>
  <c r="Y20" i="1" s="1"/>
  <c r="E20" i="1"/>
  <c r="D20" i="1"/>
  <c r="U20" i="1" s="1"/>
  <c r="C20" i="1"/>
  <c r="B20" i="1"/>
  <c r="A20" i="1"/>
  <c r="H19" i="1"/>
  <c r="F19" i="1"/>
  <c r="Y19" i="1" s="1"/>
  <c r="E19" i="1"/>
  <c r="D19" i="1"/>
  <c r="U19" i="1" s="1"/>
  <c r="C19" i="1"/>
  <c r="B19" i="1"/>
  <c r="A19" i="1"/>
  <c r="H18" i="1"/>
  <c r="F18" i="1"/>
  <c r="Y18" i="1" s="1"/>
  <c r="E18" i="1"/>
  <c r="D18" i="1"/>
  <c r="U18" i="1" s="1"/>
  <c r="C18" i="1"/>
  <c r="B18" i="1"/>
  <c r="A18" i="1"/>
  <c r="H17" i="1"/>
  <c r="F17" i="1"/>
  <c r="Y17" i="1" s="1"/>
  <c r="D17" i="1"/>
  <c r="U17" i="1" s="1"/>
  <c r="C17" i="1"/>
  <c r="B17" i="1"/>
  <c r="A17" i="1"/>
  <c r="H16" i="1"/>
  <c r="F16" i="1"/>
  <c r="Y16" i="1" s="1"/>
  <c r="E16" i="1"/>
  <c r="D16" i="1"/>
  <c r="U16" i="1" s="1"/>
  <c r="C16" i="1"/>
  <c r="B16" i="1"/>
  <c r="A16" i="1"/>
  <c r="H15" i="1"/>
  <c r="F15" i="1"/>
  <c r="Y15" i="1" s="1"/>
  <c r="E15" i="1"/>
  <c r="D15" i="1"/>
  <c r="U15" i="1" s="1"/>
  <c r="C15" i="1"/>
  <c r="B15" i="1"/>
  <c r="A15" i="1"/>
  <c r="H14" i="1"/>
  <c r="F14" i="1"/>
  <c r="Y14" i="1" s="1"/>
  <c r="E14" i="1"/>
  <c r="X14" i="1" s="1"/>
  <c r="D14" i="1"/>
  <c r="C14" i="1"/>
  <c r="B14" i="1"/>
  <c r="A14" i="1"/>
  <c r="D13" i="1"/>
  <c r="C13" i="1"/>
  <c r="B13" i="1"/>
  <c r="A13" i="1"/>
  <c r="B10" i="1"/>
  <c r="B6" i="1"/>
  <c r="B5" i="1"/>
  <c r="B8" i="7" s="1"/>
  <c r="D8" i="7" s="1"/>
  <c r="F8" i="7" s="1"/>
  <c r="T5" i="3" l="1"/>
  <c r="U5" i="3" s="1"/>
  <c r="N5" i="6"/>
  <c r="L5" i="6"/>
  <c r="W22" i="1"/>
  <c r="T22" i="1"/>
  <c r="W15" i="1"/>
  <c r="T15" i="1"/>
  <c r="W13" i="1"/>
  <c r="T13" i="1"/>
  <c r="Y5" i="3"/>
  <c r="AB5" i="3" s="1"/>
  <c r="AE5" i="3" s="1"/>
  <c r="X20" i="1"/>
  <c r="V20" i="1"/>
  <c r="V27" i="1"/>
  <c r="X27" i="1"/>
  <c r="V26" i="1"/>
  <c r="X26" i="1"/>
  <c r="V25" i="1"/>
  <c r="X25" i="1"/>
  <c r="J29" i="1"/>
  <c r="I29" i="1"/>
  <c r="J28" i="1"/>
  <c r="I28" i="1"/>
  <c r="X28" i="1"/>
  <c r="V28" i="1"/>
  <c r="T28" i="1"/>
  <c r="W28" i="1"/>
  <c r="I27" i="1"/>
  <c r="J27" i="1"/>
  <c r="W27" i="1"/>
  <c r="T27" i="1"/>
  <c r="J26" i="1"/>
  <c r="I26" i="1"/>
  <c r="W26" i="1"/>
  <c r="T26" i="1"/>
  <c r="J25" i="1"/>
  <c r="I25" i="1"/>
  <c r="T25" i="1"/>
  <c r="W25" i="1"/>
  <c r="J24" i="1"/>
  <c r="I24" i="1"/>
  <c r="X24" i="1"/>
  <c r="V24" i="1"/>
  <c r="T24" i="1"/>
  <c r="W24" i="1"/>
  <c r="J23" i="1"/>
  <c r="I23" i="1"/>
  <c r="X23" i="1"/>
  <c r="V23" i="1"/>
  <c r="W23" i="1"/>
  <c r="T23" i="1"/>
  <c r="J22" i="1"/>
  <c r="I22" i="1"/>
  <c r="X22" i="1"/>
  <c r="V22" i="1"/>
  <c r="J21" i="1"/>
  <c r="I21" i="1"/>
  <c r="X21" i="1"/>
  <c r="V21" i="1"/>
  <c r="W21" i="1"/>
  <c r="T21" i="1"/>
  <c r="I20" i="1"/>
  <c r="J20" i="1"/>
  <c r="T20" i="1"/>
  <c r="W20" i="1"/>
  <c r="I19" i="1"/>
  <c r="J19" i="1"/>
  <c r="X19" i="1"/>
  <c r="V19" i="1"/>
  <c r="W19" i="1"/>
  <c r="T19" i="1"/>
  <c r="J18" i="1"/>
  <c r="I18" i="1"/>
  <c r="X18" i="1"/>
  <c r="V18" i="1"/>
  <c r="W18" i="1"/>
  <c r="T18" i="1"/>
  <c r="I17" i="1"/>
  <c r="J17" i="1"/>
  <c r="V17" i="1"/>
  <c r="X17" i="1"/>
  <c r="T17" i="1"/>
  <c r="W17" i="1"/>
  <c r="J16" i="1"/>
  <c r="I16" i="1"/>
  <c r="X16" i="1"/>
  <c r="V16" i="1"/>
  <c r="T16" i="1"/>
  <c r="W16" i="1"/>
  <c r="J15" i="1"/>
  <c r="I15" i="1"/>
  <c r="X15" i="1"/>
  <c r="V15" i="1"/>
  <c r="J14" i="1"/>
  <c r="I14" i="1"/>
  <c r="W14" i="1"/>
  <c r="T14" i="1"/>
  <c r="U13" i="1"/>
  <c r="O5" i="6" l="1"/>
  <c r="Z5" i="3"/>
  <c r="AC5" i="3"/>
  <c r="AA5" i="3"/>
  <c r="E13" i="1"/>
  <c r="B5" i="7" l="1"/>
  <c r="D5" i="7" s="1"/>
  <c r="F5" i="7" s="1"/>
  <c r="P5" i="6"/>
  <c r="F13" i="1"/>
  <c r="Y13" i="1" s="1"/>
  <c r="AD5" i="3"/>
  <c r="X13" i="1"/>
  <c r="V13" i="1"/>
  <c r="G13" i="1" l="1"/>
  <c r="B6" i="7"/>
  <c r="D6" i="7" s="1"/>
  <c r="F6" i="7" s="1"/>
  <c r="F10" i="7" s="1"/>
  <c r="H13" i="1" l="1"/>
  <c r="Z13" i="1"/>
  <c r="B7" i="1"/>
  <c r="B9" i="1"/>
  <c r="B8" i="1"/>
  <c r="J13" i="1"/>
  <c r="I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tc={7C85440E-6D8A-37D1-915C-0275B53D0CF9}</author>
    <author>tc={C5AA0A37-D349-6B48-CF8E-30AA9CF5271B}</author>
  </authors>
  <commentList>
    <comment ref="B22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Planning placeholder for the incremental PoE-capable switch, UPS and network capacity required by the deployment. Replace with a vendor quote.</t>
      </text>
    </comment>
    <comment ref="B27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Planning energy rate. Replace with the organisation's delivered electricity tariff, including applicable levies.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tc={D0C2EF48-A6B8-2342-D61D-71D15D37DFDE}</author>
  </authors>
  <commentList>
    <comment ref="E21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Planning allowance for a privacy-preserving people-counting endpoint. Replace with the selected thermal, time-of-flight, radar or edge-analytics device quotation.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tc={F3D98EBC-31D1-4090-8CAA-66379AA921DD}</author>
    <author>tc={C4D240B2-0FE2-43AD-AB6B-DED2EFA5DD7C}</author>
    <author>tc={36CA1F47-C3E0-4ECA-AC99-53FABE1CDDAF}</author>
    <author>tc={513FF9FA-DD51-40FD-9D75-D63475F54E8A}</author>
    <author>tc={4076915E-3DDD-4896-98A8-77BFFDB68FDB}</author>
    <author>tc={5652D24E-5E88-42A9-BE2D-540480E68C8D}</author>
    <author>tc={3E3F96CF-CABE-40E1-9AE7-5AD26FF279F4}</author>
    <author>tc={722F4C0B-DB2D-4CDB-AEC5-9C624C31DB0A}</author>
  </authors>
  <commentList>
    <comment ref="A9" authorId="0" shapeId="0" xr:uid="{F3D98EBC-31D1-4090-8CAA-66379AA921DD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Technical need input</t>
      </text>
    </comment>
    <comment ref="A11" authorId="1" shapeId="0" xr:uid="{C4D240B2-0FE2-43AD-AB6B-DED2EFA5DD7C}">
      <text>
        <t>[Threaded comment]
Your version of Excel allows you to read this threaded comment; however, any edits to it will get removed if the file is opened in a newer version of Excel. Learn more: https://go.microsoft.com/fwlink/?linkid=870924
Comment:
    Rule of thumb for wards/departments and external</t>
      </text>
    </comment>
    <comment ref="A12" authorId="2" shapeId="0" xr:uid="{36CA1F47-C3E0-4ECA-AC99-53FABE1CDDAF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Sentinel points, representative points</t>
      </text>
    </comment>
    <comment ref="A14" authorId="3" shapeId="0" xr:uid="{513FF9FA-DD51-40FD-9D75-D63475F54E8A}">
      <text>
        <t>[Threaded comment]
Your version of Excel allows you to read this threaded comment; however, any edits to it will get removed if the file is opened in a newer version of Excel. Learn more: https://go.microsoft.com/fwlink/?linkid=870924
Comment:
    Ensuites</t>
      </text>
    </comment>
    <comment ref="A15" authorId="4" shapeId="0" xr:uid="{4076915E-3DDD-4896-98A8-77BFFDB68FDB}">
      <text>
        <t>[Threaded comment]
Your version of Excel allows you to read this threaded comment; however, any edits to it will get removed if the file is opened in a newer version of Excel. Learn more: https://go.microsoft.com/fwlink/?linkid=870924
Comment:
    AMR model</t>
      </text>
    </comment>
    <comment ref="A18" authorId="5" shapeId="0" xr:uid="{5652D24E-5E88-42A9-BE2D-540480E68C8D}">
      <text>
        <t>[Threaded comment]
Your version of Excel allows you to read this threaded comment; however, any edits to it will get removed if the file is opened in a newer version of Excel. Learn more: https://go.microsoft.com/fwlink/?linkid=870924
Comment:
    AHUs, pumps</t>
      </text>
    </comment>
    <comment ref="A19" authorId="6" shapeId="0" xr:uid="{3E3F96CF-CABE-40E1-9AE7-5AD26FF279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 of AVSUs </t>
      </text>
    </comment>
    <comment ref="A20" authorId="7" shapeId="0" xr:uid="{722F4C0B-DB2D-4CDB-AEC5-9C624C31DB0A}">
      <text>
        <t>[Threaded comment]
Your version of Excel allows you to read this threaded comment; however, any edits to it will get removed if the file is opened in a newer version of Excel. Learn more: https://go.microsoft.com/fwlink/?linkid=870924
Comment:
    Branches, VIE plant</t>
      </text>
    </comment>
  </commentList>
</comments>
</file>

<file path=xl/sharedStrings.xml><?xml version="1.0" encoding="utf-8"?>
<sst xmlns="http://schemas.openxmlformats.org/spreadsheetml/2006/main" count="596" uniqueCount="423">
  <si>
    <t>LoRaWAN vs NB-IoT vs PoE — Cost &amp; Fit Summary</t>
  </si>
  <si>
    <t>UK planning benchmark • GBP ex VAT • 5-year default • category scenarios are independently editable</t>
  </si>
  <si>
    <t>Model headline</t>
  </si>
  <si>
    <t>What the model says</t>
  </si>
  <si>
    <t>Categories modelled</t>
  </si>
  <si>
    <t>Configured scenarios</t>
  </si>
  <si>
    <t>LoRaWAN lower-cost</t>
  </si>
  <si>
    <t>NB-IoT lower-cost</t>
  </si>
  <si>
    <t>PoE lower-cost</t>
  </si>
  <si>
    <t>Default horizon</t>
  </si>
  <si>
    <t>Sensor / use case</t>
  </si>
  <si>
    <t>LoRa fit</t>
  </si>
  <si>
    <t>NB fit</t>
  </si>
  <si>
    <t>PoE fit</t>
  </si>
  <si>
    <t>LoRa TCO/unit</t>
  </si>
  <si>
    <t>NB TCO/unit</t>
  </si>
  <si>
    <t>PoE TCO/unit</t>
  </si>
  <si>
    <t>Lowest-cost viable</t>
  </si>
  <si>
    <t>Technical recommendation</t>
  </si>
  <si>
    <t>Confidence</t>
  </si>
  <si>
    <t>LoRaWAN vs NB-IoT vs PoE — Planning Assumptions</t>
  </si>
  <si>
    <t>LoRaWAN vs NB-IoT — Planning Assumptions</t>
  </si>
  <si>
    <t>Blue cells are editable. Costs exclude VAT and the business application/dashboard layer common to all options.</t>
  </si>
  <si>
    <t>Blue cells are editable. Costs exclude VAT and the business application/dashboard layer common to both options.</t>
  </si>
  <si>
    <t>Driver</t>
  </si>
  <si>
    <t>Value</t>
  </si>
  <si>
    <t>Unit</t>
  </si>
  <si>
    <t>Basis</t>
  </si>
  <si>
    <t>Source / evidence</t>
  </si>
  <si>
    <t>Sensitivity note</t>
  </si>
  <si>
    <t>Analysis horizon</t>
  </si>
  <si>
    <t>years</t>
  </si>
  <si>
    <t>Planning assumption</t>
  </si>
  <si>
    <t>Change to 3, 7 or 10 years as required</t>
  </si>
  <si>
    <t>Gateways per site</t>
  </si>
  <si>
    <t>gateway/site</t>
  </si>
  <si>
    <t>Survey RF coverage; resilient designs may need 2+</t>
  </si>
  <si>
    <t>LoRaWAN gateway hardware</t>
  </si>
  <si>
    <t>£/gateway</t>
  </si>
  <si>
    <t>Milesight UG65 UK price</t>
  </si>
  <si>
    <t>https://ukiot.io/shop/</t>
  </si>
  <si>
    <t>Lower-cost gateways start around £190</t>
  </si>
  <si>
    <t>LoRaWAN gateway installation</t>
  </si>
  <si>
    <t>Planning allowance</t>
  </si>
  <si>
    <t>Includes mounting, power and network connection</t>
  </si>
  <si>
    <t>LoRaWAN gateway support</t>
  </si>
  <si>
    <t>£/gateway/year</t>
  </si>
  <si>
    <t>Remote monitoring and firmware administration</t>
  </si>
  <si>
    <t>LoRaWAN gateway power</t>
  </si>
  <si>
    <t>8 W at £0.31/kWh</t>
  </si>
  <si>
    <t>Remove if hosted power is immaterial</t>
  </si>
  <si>
    <t>LoRaWAN network server</t>
  </si>
  <si>
    <t>£/device/month</t>
  </si>
  <si>
    <t>Planning benchmark at scale</t>
  </si>
  <si>
    <t>https://aws.amazon.com/marketplace/pp/prodview-djx65iyt6w5cy</t>
  </si>
  <si>
    <t>Small fleets can face a fixed minimum; embedded/open-source can be lower</t>
  </si>
  <si>
    <t>LoRaWAN fixed platform charge</t>
  </si>
  <si>
    <t>£/deployment/year</t>
  </si>
  <si>
    <t>Assumes shared or embedded server</t>
  </si>
  <si>
    <t>Enter vendor minimum subscription if applicable</t>
  </si>
  <si>
    <t>LoRaWAN device commissioning</t>
  </si>
  <si>
    <t>£/device</t>
  </si>
  <si>
    <t>Provisioning, keys, labelling and acceptance</t>
  </si>
  <si>
    <t>NB-IoT monthly connectivity</t>
  </si>
  <si>
    <t>User-provided tariff</t>
  </si>
  <si>
    <t>Applied for every month in the analysis horizon</t>
  </si>
  <si>
    <t>NB-IoT SIM / activation one-off fee</t>
  </si>
  <si>
    <t>Charged once per device</t>
  </si>
  <si>
    <t>NB-IoT included data</t>
  </si>
  <si>
    <t>MB/device/month</t>
  </si>
  <si>
    <t>Monthly allowance; overage is charged separately</t>
  </si>
  <si>
    <t>NB-IoT data overage</t>
  </si>
  <si>
    <t>£/MB</t>
  </si>
  <si>
    <t>Applied to monthly usage above 17 MB per device</t>
  </si>
  <si>
    <t>NB-IoT device commissioning</t>
  </si>
  <si>
    <t>SIM/eSIM activation and acceptance</t>
  </si>
  <si>
    <t>Annual device maintenance</t>
  </si>
  <si>
    <t>% of hardware/year</t>
  </si>
  <si>
    <t>Excludes calibration regimes unique to the sensing application</t>
  </si>
  <si>
    <t>Battery service visit</t>
  </si>
  <si>
    <t>£/device/event</t>
  </si>
  <si>
    <t>Set higher for traffic management, confined space or clinical access</t>
  </si>
  <si>
    <t>EUR to GBP</t>
  </si>
  <si>
    <t>£/€</t>
  </si>
  <si>
    <t>ECB, 24 Jul 2026</t>
  </si>
  <si>
    <t>https://www.ecb.europa.eu/stats/policy_and_exchange_rates/euro_reference_exchange_rates/html/index.en.html</t>
  </si>
  <si>
    <t>Update for procurement date</t>
  </si>
  <si>
    <t>PoE switch/network hardware</t>
  </si>
  <si>
    <t>£/site</t>
  </si>
  <si>
    <t>Use only incremental switch/UPS capacity attributable to this deployment</t>
  </si>
  <si>
    <t>PoE switch/network installation</t>
  </si>
  <si>
    <t>Rack, patching, configuration and acceptance; excludes major comms-room works</t>
  </si>
  <si>
    <t>PoE switch/network support</t>
  </si>
  <si>
    <t>£/site/year</t>
  </si>
  <si>
    <t>Monitoring, firmware and replacement allowance</t>
  </si>
  <si>
    <t>PoE endpoint commissioning</t>
  </si>
  <si>
    <t>Port configuration, labelling, test and handover</t>
  </si>
  <si>
    <t>Electricity price</t>
  </si>
  <si>
    <t>£/kWh</t>
  </si>
  <si>
    <t>Update to the organisation's delivered electricity rate</t>
  </si>
  <si>
    <t>PoE power delivery efficiency</t>
  </si>
  <si>
    <t>%</t>
  </si>
  <si>
    <t>https://ethernetalliance.org/wp-content/uploads/2019/12/WP_EA_Overview8023bt_V2p1_FINAL.pdf</t>
  </si>
  <si>
    <t>Use measured PSE/cabling efficiency where available</t>
  </si>
  <si>
    <t>PoE endpoint maintenance</t>
  </si>
  <si>
    <t>Endpoint-only allowance; switch support is modelled separately</t>
  </si>
  <si>
    <t>Category-Level Five-Year TCO</t>
  </si>
  <si>
    <t>Each row is a standalone deployment scenario. Change quantities, sites, device prices, data and battery life in blue columns.</t>
  </si>
  <si>
    <t>Deployment archetype</t>
  </si>
  <si>
    <t>Units</t>
  </si>
  <si>
    <t>Sites</t>
  </si>
  <si>
    <t>LoRa HW £/unit</t>
  </si>
  <si>
    <t>NB HW £/unit</t>
  </si>
  <si>
    <t>Install £/unit</t>
  </si>
  <si>
    <t>NB data MB/month</t>
  </si>
  <si>
    <t>LoRa battery years</t>
  </si>
  <si>
    <t>NB battery years</t>
  </si>
  <si>
    <t>LoRa suitability (1–5)</t>
  </si>
  <si>
    <t>NB suitability (1–5)</t>
  </si>
  <si>
    <t>Required behaviour / boundary</t>
  </si>
  <si>
    <t>Evidence confidence</t>
  </si>
  <si>
    <t>LoRa device capex</t>
  </si>
  <si>
    <t>LoRa shared infra</t>
  </si>
  <si>
    <t>LoRa maintenance</t>
  </si>
  <si>
    <t>LoRa server variable</t>
  </si>
  <si>
    <t>LoRa TCO</t>
  </si>
  <si>
    <t>NB device &amp; tariff</t>
  </si>
  <si>
    <t>NB data overage</t>
  </si>
  <si>
    <t>NB maintenance</t>
  </si>
  <si>
    <t>NB TCO</t>
  </si>
  <si>
    <t>LoRa minus NB</t>
  </si>
  <si>
    <t>Lower-cost option</t>
  </si>
  <si>
    <t>Saving vs higher TCO</t>
  </si>
  <si>
    <t>LoRa break-even units/site</t>
  </si>
  <si>
    <t>Decision note</t>
  </si>
  <si>
    <t>IAQ sensors</t>
  </si>
  <si>
    <t>Indoor multi-site</t>
  </si>
  <si>
    <t>Periodic CO₂/VOC/PM/temperature metadata</t>
  </si>
  <si>
    <t>LoRaWAN for dense estates; NB-IoT for isolated buildings</t>
  </si>
  <si>
    <t>Medium</t>
  </si>
  <si>
    <t>Parking bay sensors</t>
  </si>
  <si>
    <t>Outdoor campus / street</t>
  </si>
  <si>
    <t>Occupancy events and health telemetry</t>
  </si>
  <si>
    <t>LoRaWAN on owned campus; NB-IoT for dispersed street assets</t>
  </si>
  <si>
    <t>Room displays</t>
  </si>
  <si>
    <t>Indoor rooms</t>
  </si>
  <si>
    <t>E-ink/status updates only; not rich interactive content</t>
  </si>
  <si>
    <t>LoRaWAN for simple e-ink; Wi-Fi/Ethernet for rich displays</t>
  </si>
  <si>
    <t>Low</t>
  </si>
  <si>
    <t>Lux sensors</t>
  </si>
  <si>
    <t>Periodic light level and threshold alarms</t>
  </si>
  <si>
    <t>LoRaWAN where a shared building network exists</t>
  </si>
  <si>
    <t>Metering — electricity and water</t>
  </si>
  <si>
    <t>Plantrooms / meters</t>
  </si>
  <si>
    <t>Registers, pulse counts or Modbus data</t>
  </si>
  <si>
    <t>LoRaWAN for estates; NB-IoT for utility-style dispersed meters</t>
  </si>
  <si>
    <t>High</t>
  </si>
  <si>
    <t>Fridge / process temperature</t>
  </si>
  <si>
    <t>Indoor critical assets</t>
  </si>
  <si>
    <t>Periodic temperature plus immediate excursion alarm</t>
  </si>
  <si>
    <t>Either; preserve local logging and alarm path</t>
  </si>
  <si>
    <t>Waste water monitoring</t>
  </si>
  <si>
    <t>Remote outdoor assets</t>
  </si>
  <si>
    <t>Level/quality/status metadata; no raw waveforms</t>
  </si>
  <si>
    <t>NB-IoT usually favoured for dispersed remote assets</t>
  </si>
  <si>
    <t>Water temperature</t>
  </si>
  <si>
    <t>Remote / plantroom</t>
  </si>
  <si>
    <t>Periodic readings and threshold alarms</t>
  </si>
  <si>
    <t>Either; LoRaWAN when sites share coverage</t>
  </si>
  <si>
    <t>Water flow</t>
  </si>
  <si>
    <t>Pulse/flow total and anomaly alarm</t>
  </si>
  <si>
    <t>Either; NB-IoT is simpler when widely dispersed</t>
  </si>
  <si>
    <t>Water leak detection</t>
  </si>
  <si>
    <t>Indoor dense estate</t>
  </si>
  <si>
    <t>Immediate event; local shut-off must not depend on cloud</t>
  </si>
  <si>
    <t>LoRaWAN for density; NB-IoT for standalone premises</t>
  </si>
  <si>
    <t>Acoustic sensors</t>
  </si>
  <si>
    <t>Water / machinery</t>
  </si>
  <si>
    <t>Edge-derived dB/features only; raw audio is unsuitable</t>
  </si>
  <si>
    <t>NB-IoT for dispersed water loggers; either on campus</t>
  </si>
  <si>
    <t>Bin fill level — ultrasonic</t>
  </si>
  <si>
    <t>Distributed bins</t>
  </si>
  <si>
    <t>Distance/fill percentage and alarms</t>
  </si>
  <si>
    <t>NB-IoT for citywide assets; LoRaWAN on campus/private estate</t>
  </si>
  <si>
    <t>Optical bin sensors / computer vision</t>
  </si>
  <si>
    <t>On-device inference only; do not send images over LPWAN</t>
  </si>
  <si>
    <t>Use LTE-M/LTE/5G if images are required; LPWAN only for metadata</t>
  </si>
  <si>
    <t>Vibration sensors</t>
  </si>
  <si>
    <t>Plant and machinery</t>
  </si>
  <si>
    <t>Edge-computed RMS/FFT features; raw high-rate waveform unsuitable</t>
  </si>
  <si>
    <t>Either for features; wired/Wi-Fi/LTE for raw waveform</t>
  </si>
  <si>
    <t>Pressure sensors — medical gases</t>
  </si>
  <si>
    <t>Clinical plantrooms</t>
  </si>
  <si>
    <t>Secondary monitoring only; retain compliant wired alarms</t>
  </si>
  <si>
    <t>LPWAN may supplement, never replace, the safety alarm system</t>
  </si>
  <si>
    <t>Ultrasonic non-invasive — medical gases</t>
  </si>
  <si>
    <t>Clinical cylinders / pipes</t>
  </si>
  <si>
    <t>Secondary level/flow telemetry with local fail-safe</t>
  </si>
  <si>
    <t>Either as supplementary telemetry; validate clinical compliance</t>
  </si>
  <si>
    <t>Decision Guide — LoRaWAN, NB-IoT and PoE</t>
  </si>
  <si>
    <t>Cost follows architecture. Apply these gates before accepting the cheapest five-year TCO.</t>
  </si>
  <si>
    <t>Question</t>
  </si>
  <si>
    <t>LoRaWAN signal</t>
  </si>
  <si>
    <t>NB-IoT signal</t>
  </si>
  <si>
    <t>PoE signal</t>
  </si>
  <si>
    <t>Preferred direction</t>
  </si>
  <si>
    <t>Risk / caveat</t>
  </si>
  <si>
    <t>Action</t>
  </si>
  <si>
    <t>Are devices concentrated in owned buildings/campus?</t>
  </si>
  <si>
    <t>Strong</t>
  </si>
  <si>
    <t>Neutral</t>
  </si>
  <si>
    <t>Strong if cableable</t>
  </si>
  <si>
    <t>LoRaWAN or PoE</t>
  </si>
  <si>
    <t>PoE cable routes and switch capacity may dominate cost</t>
  </si>
  <si>
    <t>RF survey plus structured-cabling and port-capacity survey</t>
  </si>
  <si>
    <t>Are devices geographically dispersed?</t>
  </si>
  <si>
    <t>Weak unless public LoRaWAN exists</t>
  </si>
  <si>
    <t>Weak</t>
  </si>
  <si>
    <t>NB-IoT</t>
  </si>
  <si>
    <t>Carrier coverage varies; PoE usually needs costly civil works</t>
  </si>
  <si>
    <t>Test target SIM/device and map any existing powered network</t>
  </si>
  <si>
    <t>Is structured cabling already available near endpoints?</t>
  </si>
  <si>
    <t>PoE</t>
  </si>
  <si>
    <t>Spare cable does not guarantee spare switch power, UPS or ports</t>
  </si>
  <si>
    <t>Audit patch panels, port budgets, UPS runtime and VLAN capacity</t>
  </si>
  <si>
    <t>Is payload small and infrequent?</t>
  </si>
  <si>
    <t>Capable but potentially overbuilt</t>
  </si>
  <si>
    <t>LoRaWAN or NB-IoT</t>
  </si>
  <si>
    <t>Architecture overhead can outweigh sensor cost</t>
  </si>
  <si>
    <t>Define bytes/message, messages/day and alarm bursts</t>
  </si>
  <si>
    <t>Are images, video, raw audio or raw waveforms required?</t>
  </si>
  <si>
    <t>Unsuitable</t>
  </si>
  <si>
    <t>Usually unsuitable</t>
  </si>
  <si>
    <t>PoE / wired Ethernet</t>
  </si>
  <si>
    <t>Cable reach and power class must match the endpoint</t>
  </si>
  <si>
    <t>Specify bandwidth, power class, storage and cyber controls</t>
  </si>
  <si>
    <t>Is an immediate local safety action required?</t>
  </si>
  <si>
    <t>Cloud path insufficient</t>
  </si>
  <si>
    <t>Network path still insufficient alone</t>
  </si>
  <si>
    <t>Local/wired fail-safe</t>
  </si>
  <si>
    <t>No remote telemetry path should be the sole safety layer</t>
  </si>
  <si>
    <t>Keep compliant local control and use telemetry for supervision</t>
  </si>
  <si>
    <t>Will a battery visit be expensive?</t>
  </si>
  <si>
    <t>Often strongest</t>
  </si>
  <si>
    <t>Good</t>
  </si>
  <si>
    <t>No battery at endpoint</t>
  </si>
  <si>
    <t>PoE if cableable; otherwise compare LPWAN</t>
  </si>
  <si>
    <t>PoE avoids battery visits but adds cable and switch lifecycle costs</t>
  </si>
  <si>
    <t>Compare surveyed cable cost with lifetime battery service cost</t>
  </si>
  <si>
    <t>Do you require frequent two-way control?</t>
  </si>
  <si>
    <t>Limited downlink capacity</t>
  </si>
  <si>
    <t>Better but still LPWA</t>
  </si>
  <si>
    <t>Availability now depends on LAN, switch and UPS design</t>
  </si>
  <si>
    <t>Define latency, redundancy, UPS and recovery requirements</t>
  </si>
  <si>
    <t>Do you need to avoid local infrastructure?</t>
  </si>
  <si>
    <t>No</t>
  </si>
  <si>
    <t>Yes</t>
  </si>
  <si>
    <t>Recurring carrier dependency replaces gateway/switch ownership</t>
  </si>
  <si>
    <t>Review contract, roaming, coverage and exit strategy</t>
  </si>
  <si>
    <t>Is the endpoint more than 100 m of copper path from a switch?</t>
  </si>
  <si>
    <t>N/A</t>
  </si>
  <si>
    <t>Major constraint</t>
  </si>
  <si>
    <t>Wireless, fibre plus local power, or redesign</t>
  </si>
  <si>
    <t>Standard twisted-pair Ethernet reach is 100 m</t>
  </si>
  <si>
    <t>Survey permanent link, patching, containment and surge exposure</t>
  </si>
  <si>
    <t>Sources &amp; Evidence Log</t>
  </si>
  <si>
    <t>Public sources support the benchmark and technical boundaries. Vendor quotations should replace indicative prices before procurement.</t>
  </si>
  <si>
    <t>Topic</t>
  </si>
  <si>
    <t>Evidence used</t>
  </si>
  <si>
    <t>URL</t>
  </si>
  <si>
    <t>Accessed</t>
  </si>
  <si>
    <t>Type</t>
  </si>
  <si>
    <t>Model impact</t>
  </si>
  <si>
    <t>NB-IoT tariff</t>
  </si>
  <si>
    <t>£0.98/device/month plus £0.70 one-off; includes 17 MB/device/month</t>
  </si>
  <si>
    <t>User input</t>
  </si>
  <si>
    <t>NB recurring connectivity, one-off fee and included-data inputs</t>
  </si>
  <si>
    <t>NB-IoT overage</t>
  </si>
  <si>
    <t>£0.01/MB above 17 MB/device/month</t>
  </si>
  <si>
    <t>NB monthly data-overage formula</t>
  </si>
  <si>
    <t>GBP/EUR</t>
  </si>
  <si>
    <t>ECB reference rate: £0.85388 per €1 on 24 Jul 2026</t>
  </si>
  <si>
    <t>Official</t>
  </si>
  <si>
    <t>Currency conversion</t>
  </si>
  <si>
    <t>UK NB-IoT reach</t>
  </si>
  <si>
    <t>BT/EE announced NB-IoT coverage of 97% of UK population</t>
  </si>
  <si>
    <t>https://newsroom.bt.com/bt-launches-multi-million-pound-nb-iot-network-to-support-uk-smart-cities/</t>
  </si>
  <si>
    <t>Operator primary</t>
  </si>
  <si>
    <t>Supports dispersed-asset option; location testing still required</t>
  </si>
  <si>
    <t>UK NB-IoT use case</t>
  </si>
  <si>
    <t>Vodafone NB-IoT supports leak detection without Wi-Fi</t>
  </si>
  <si>
    <t>https://www.vodafone.co.uk/business/case-studies/leaksafe-and-vodafone-business-narrowband-iot</t>
  </si>
  <si>
    <t>Leak detection fit</t>
  </si>
  <si>
    <t>Acoustic water logging</t>
  </si>
  <si>
    <t>Vodafone says NB-IoT improved underground reach and power versus 3G/4G</t>
  </si>
  <si>
    <t>https://www.vodafone.co.uk/business/case-studies/nb-iot-gutermann</t>
  </si>
  <si>
    <t>Acoustic/dispersed water fit</t>
  </si>
  <si>
    <t>NB-IoT bandwidth boundary</t>
  </si>
  <si>
    <t>Vodafone describes NB-IoT as supporting small amounts of data</t>
  </si>
  <si>
    <t>https://www.vodafone.co.uk/business/iot/iot-faqs</t>
  </si>
  <si>
    <t>Excludes video/raw high-rate data</t>
  </si>
  <si>
    <t>LoRaWAN smart buildings</t>
  </si>
  <si>
    <t>LoRa Alliance identifies environmental, leak, occupancy, metering and predictive-maintenance applications</t>
  </si>
  <si>
    <t>https://lora-alliance.org/buildings-vertical-market/</t>
  </si>
  <si>
    <t>Industry body</t>
  </si>
  <si>
    <t>Building/campus suitability</t>
  </si>
  <si>
    <t>LoRaWAN/NB-IoT comparison</t>
  </si>
  <si>
    <t>LoRaWAN evidence for smart buildings and utilities</t>
  </si>
  <si>
    <t>https://lora-alliance.org/wp-content/uploads/2020/11/cr-lora-102_lorawanr_and_nb-iot.pdf</t>
  </si>
  <si>
    <t>Industry white paper</t>
  </si>
  <si>
    <t>Category fit scoring</t>
  </si>
  <si>
    <t>LoRa gateway</t>
  </si>
  <si>
    <t>UG65 supports indoor deployments and up to 2,000 devices</t>
  </si>
  <si>
    <t>https://www.milesight.com/iot/product/lorawan-gateway/ug65</t>
  </si>
  <si>
    <t>Vendor primary</t>
  </si>
  <si>
    <t>Gateway capacity assumption</t>
  </si>
  <si>
    <t>UK device/gateway pricing</t>
  </si>
  <si>
    <t>Public UK prices for LoRaWAN, NB-IoT sensors and gateways</t>
  </si>
  <si>
    <t>Distributor</t>
  </si>
  <si>
    <t>Hardware planning benchmarks</t>
  </si>
  <si>
    <t>LoRaWAN server</t>
  </si>
  <si>
    <t>The Things Stack provides managed cloud and free discovery tier</t>
  </si>
  <si>
    <t>https://www.thethingsindustries.com/stack/plans/</t>
  </si>
  <si>
    <t>Network-server architecture</t>
  </si>
  <si>
    <t>LoRaWAN server price anchor</t>
  </si>
  <si>
    <t>AWS Marketplace lists $0.336/hour to register up to 1,000 devices</t>
  </si>
  <si>
    <t>Marketplace</t>
  </si>
  <si>
    <t>£0.20/device/month planning benchmark at scale</t>
  </si>
  <si>
    <t>LPWA comparison</t>
  </si>
  <si>
    <t>GSMA compares bandwidth, latency, battery, spectrum and module cost across NB-IoT and LoRaWAN</t>
  </si>
  <si>
    <t>https://www.gsma.com/solutions-and-impact/connectivity-for-good/mobile-for-development/wp-content/uploads/2023/04/IoT-for-Development-Use-cases-delivering-impact.pdf</t>
  </si>
  <si>
    <t>Technical decision gates</t>
  </si>
  <si>
    <t>PoE standards and power classes</t>
  </si>
  <si>
    <t>IEEE 802.3bt uses all four pairs and extends standardized power delivery</t>
  </si>
  <si>
    <t>https://standards.ieee.org/ieee/802.3bt/6749/</t>
  </si>
  <si>
    <t>Standards body</t>
  </si>
  <si>
    <t>PoE technical boundary and power-delivery context</t>
  </si>
  <si>
    <t>PoE copper reach</t>
  </si>
  <si>
    <t>Standard maximum twisted-pair Ethernet cable length is 100 m</t>
  </si>
  <si>
    <t>https://www.cisco.com/c/en/us/td/docs/switches/lan/catalyst3750/software/troubleshooting/g_power_over_ethernet.html</t>
  </si>
  <si>
    <t>Vendor technical guide</t>
  </si>
  <si>
    <t>Decision gate for cable-route feasibility</t>
  </si>
  <si>
    <t>PoE Category-Level Five-Year TCO</t>
  </si>
  <si>
    <t>PoE is a wired power-and-data architecture. Each row links to the corresponding deployment quantity and site count in Category Model; edit the blue PoE inputs below.</t>
  </si>
  <si>
    <t>PoE HW £/unit</t>
  </si>
  <si>
    <t>Cabling &amp; install £/unit</t>
  </si>
  <si>
    <t>Average W/device</t>
  </si>
  <si>
    <t>PoE suitability (1–5)</t>
  </si>
  <si>
    <t>PoE technical recommendation</t>
  </si>
  <si>
    <t>Endpoint capex</t>
  </si>
  <si>
    <t>Shared network</t>
  </si>
  <si>
    <t>Energy, support &amp; maintenance</t>
  </si>
  <si>
    <t>PoE TCO</t>
  </si>
  <si>
    <t>Continuous power and IP data suit fixed indoor IAQ endpoints</t>
  </si>
  <si>
    <t>PoE is attractive where structured cabling exists; LPWAN remains simpler for retrofit or dispersed sites</t>
  </si>
  <si>
    <t>Outdoor bay devices need protected cabling and civil works</t>
  </si>
  <si>
    <t>Use PoE only where ducts and nearby network cabinets already exist</t>
  </si>
  <si>
    <t>Rich displays benefit from continuous power and Ethernet bandwidth</t>
  </si>
  <si>
    <t>PoE is preferred for interactive or frequently updated room displays</t>
  </si>
  <si>
    <t>Fixed ceiling/wall sensors are compatible with structured cabling</t>
  </si>
  <si>
    <t>PoE is strong in new-build or refurbished estates with spare ports</t>
  </si>
  <si>
    <t>Plantroom meters may be near Ethernet but isolation and interfaces vary</t>
  </si>
  <si>
    <t>PoE is suitable when meters/controllers are fixed and cabling is practical</t>
  </si>
  <si>
    <t>Fixed critical assets benefit from reliable power and local LAN monitoring</t>
  </si>
  <si>
    <t>PoE is suitable when cable routing does not compromise hygiene or operations</t>
  </si>
  <si>
    <t>Remote wet environments make copper cabling and surge protection costly</t>
  </si>
  <si>
    <t>Prefer wireless/cellular unless powered network infrastructure is already present</t>
  </si>
  <si>
    <t>Plantroom locations may be cableable; remote assets often are not</t>
  </si>
  <si>
    <t>PoE is conditional on route length, containment and electrical environment</t>
  </si>
  <si>
    <t>Fixed flow devices may support wired gateways or controllers</t>
  </si>
  <si>
    <t>PoE is viable on-site but usually weak for geographically dispersed meters</t>
  </si>
  <si>
    <t>Fixed leak sensors can use PoE but cabling cost may exceed device cost</t>
  </si>
  <si>
    <t>Use PoE for accessible fixed locations; retain local shut-off logic</t>
  </si>
  <si>
    <t>Feature-rich acoustic monitoring benefits from continuous power and bandwidth</t>
  </si>
  <si>
    <t>PoE is strong for machinery/buildings; cellular remains useful for dispersed water networks</t>
  </si>
  <si>
    <t>Distributed bins rarely have economical Ethernet cabling</t>
  </si>
  <si>
    <t>Use PoE only for fixed indoor waste points with existing cabling</t>
  </si>
  <si>
    <t>Images and edge inference need continuous power and higher bandwidth</t>
  </si>
  <si>
    <t>PoE is the preferred option for cameras and optical sensors within cable reach</t>
  </si>
  <si>
    <t>High-rate waveform or frequent features benefit from wired bandwidth</t>
  </si>
  <si>
    <t>PoE is preferred for fixed machinery monitoring where cable routing is safe</t>
  </si>
  <si>
    <t>Clinical plantrooms favour supervised wired infrastructure</t>
  </si>
  <si>
    <t>Use PoE for supplementary telemetry while retaining the compliant alarm system</t>
  </si>
  <si>
    <t>Fixed clinical cylinder/pipe monitoring benefits from power and deterministic LAN access</t>
  </si>
  <si>
    <t>PoE is strong for supplementary telemetry; validate isolation and clinical compliance</t>
  </si>
  <si>
    <t>Model Checks</t>
  </si>
  <si>
    <t>One assertion per row. The model status is OK only when all configured calculations tie and all editable cost assumptions are non-negative.</t>
  </si>
  <si>
    <t>Check</t>
  </si>
  <si>
    <t>Actual</t>
  </si>
  <si>
    <t>Expected</t>
  </si>
  <si>
    <t>Difference</t>
  </si>
  <si>
    <t>Tolerance</t>
  </si>
  <si>
    <t>Status</t>
  </si>
  <si>
    <t>Notes</t>
  </si>
  <si>
    <t>PoE TCO components tie</t>
  </si>
  <si>
    <t>Total PoE TCO must equal endpoint capex + shared network + energy/support/maintenance.</t>
  </si>
  <si>
    <t>Configured PoE rows have unit TCO</t>
  </si>
  <si>
    <t>Every row with a device quantity must produce a PoE TCO per unit.</t>
  </si>
  <si>
    <t>PoE inputs are non-negative</t>
  </si>
  <si>
    <t>Negative cost, power, suitability or efficiency inputs are not permitted.</t>
  </si>
  <si>
    <t>Summary category count ties</t>
  </si>
  <si>
    <t>Summary must cover all Category Model use cases.</t>
  </si>
  <si>
    <t>Overall model status</t>
  </si>
  <si>
    <t>PoE is modelled as a third architecture, including endpoint hardware, cabling and installation, shared switch/network infrastructure, electricity, support and maintenance. People counting is now included: PoE is the natural fit for continuous ToF/camera/edge analytics, while LPWAN options are suitable only when endpoints transmit privacy-preserving aggregate counts. Blank device quantities remain deliberately unconfigured; enter units and sites in Category Model and replace blue assumptions with surveyed costs.</t>
  </si>
  <si>
    <t>LoRaWAN</t>
  </si>
  <si>
    <t>People counting / footfall</t>
  </si>
  <si>
    <t>Entrances / circulation</t>
  </si>
  <si>
    <t>Transmit aggregate counts and occupancy metadata only; images or video require local processing and higher-bandwidth backhaul</t>
  </si>
  <si>
    <t>PoE for camera/ToF analytics or continuous counts; LPWAN only for privacy-preserving aggregate count metadata</t>
  </si>
  <si>
    <t>Does people counting use images or potentially identifiable data?</t>
  </si>
  <si>
    <t>Only aggregate counts</t>
  </si>
  <si>
    <t>Strong with edge processing</t>
  </si>
  <si>
    <t>PoE with privacy-by-design controls</t>
  </si>
  <si>
    <t>Accuracy, retention and privacy requirements may dominate connectivity cost</t>
  </si>
  <si>
    <t>Prefer anonymous ToF/thermal/radar or edge aggregation; assess transparency, retention and DPIA needs</t>
  </si>
  <si>
    <t>Suitability score: 5 = natural fit; 4 = good fit; 3 = conditional; 2 = major constraint; 1 = unsuitable for the stated behaviour.</t>
  </si>
  <si>
    <t>People counting privacy</t>
  </si>
  <si>
    <t>Video surveillance that processes personal data requires data protection by design, fairness, accountability and transparency</t>
  </si>
  <si>
    <t>https://ico.org.uk/for-organisations/uk-gdpr-guidance-and-resources/cctv-and-video-surveillance/guidance-on-video-surveillance-including-cctv/about-this-guidance/</t>
  </si>
  <si>
    <t>UK regulator</t>
  </si>
  <si>
    <t>People-counting decision boundary and privacy-by-design recommendation</t>
  </si>
  <si>
    <t>Continuous power and Ethernet suit overhead ToF, stereo or edge-video counters; avoid exporting identifiable imagery unless necessary</t>
  </si>
  <si>
    <t>PoE is preferred for continuous people counting and local edge analytics; configure aggregate outputs and privacy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</si>
</sst>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£&quot;* #,##0.00_-;\-&quot;£&quot;* #,##0.00_-;_-&quot;£&quot;* &quot;-&quot;??_-;_-@_-"/>
    <numFmt numFmtId="164" formatCode="\£#,##0.00"/>
    <numFmt numFmtId="165" formatCode="0.0"/>
    <numFmt numFmtId="166" formatCode="0.00000"/>
    <numFmt numFmtId="167" formatCode="0.0%"/>
    <numFmt numFmtId="168" formatCode="0\ &quot;years&quot;"/>
    <numFmt numFmtId="169" formatCode="yyyy\-mm\-dd"/>
    <numFmt numFmtId="170" formatCode="\£0.00"/>
    <numFmt numFmtId="171" formatCode="\£#,##0.00;[Red]\(\£#,##0.00\);\-"/>
    <numFmt numFmtId="172" formatCode="dd\ mmm\ yyyy"/>
    <numFmt numFmtId="173" formatCode="#,##0.00;[Red]\(#,##0.00\);\-"/>
  </numFmts>
  <fonts count="18">
    <font>
      <sz val="11"/>
      <name val="Carlito"/>
    </font>
    <font>
      <b/>
      <sz val="18"/>
      <color rgb="FFFFFFFF"/>
      <name val="Carlito"/>
    </font>
    <font>
      <i/>
      <sz val="10"/>
      <color rgb="FF17324D"/>
      <name val="Carlito"/>
    </font>
    <font>
      <b/>
      <sz val="10"/>
      <color rgb="FFFFFFFF"/>
      <name val="Carlito"/>
    </font>
    <font>
      <b/>
      <sz val="11"/>
      <color rgb="FF145DA0"/>
      <name val="Carlito"/>
    </font>
    <font>
      <b/>
      <sz val="11"/>
      <color rgb="FF17324D"/>
      <name val="Carlito"/>
    </font>
    <font>
      <sz val="11"/>
      <color rgb="FF145DA0"/>
      <name val="Carlito"/>
    </font>
    <font>
      <b/>
      <sz val="11"/>
      <color rgb="FFFFFFFF"/>
      <name val="Carlito"/>
    </font>
    <font>
      <sz val="11"/>
      <color rgb="FF000000"/>
      <name val="Carlito"/>
    </font>
    <font>
      <sz val="11"/>
      <color rgb="FF0000FF"/>
      <name val="Carlito"/>
    </font>
    <font>
      <i/>
      <sz val="11"/>
      <color rgb="FF17324D"/>
      <name val="Carlito"/>
    </font>
    <font>
      <sz val="11"/>
      <color rgb="FF008000"/>
      <name val="Carlito"/>
    </font>
    <font>
      <b/>
      <sz val="11"/>
      <color rgb="FF008000"/>
      <name val="Carlito"/>
    </font>
    <font>
      <b/>
      <sz val="11"/>
      <color rgb="FF657087"/>
      <name val="Carlito"/>
    </font>
    <font>
      <b/>
      <sz val="11"/>
      <color rgb="FF664D03"/>
      <name val="Carlito"/>
    </font>
    <font>
      <i/>
      <sz val="11"/>
      <color rgb="FF664D03"/>
      <name val="Carlito"/>
    </font>
    <font>
      <sz val="11"/>
      <name val="Carlito"/>
    </font>
    <font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7EDF3"/>
      </patternFill>
    </fill>
    <fill>
      <patternFill patternType="solid">
        <fgColor rgb="FF0F766E"/>
      </patternFill>
    </fill>
    <fill>
      <patternFill patternType="solid">
        <fgColor rgb="FFE8F1FB"/>
      </patternFill>
    </fill>
    <fill>
      <patternFill patternType="solid">
        <fgColor rgb="FFDDF3EF"/>
      </patternFill>
    </fill>
    <fill>
      <patternFill patternType="solid">
        <fgColor rgb="FFEEF2F6"/>
      </patternFill>
    </fill>
    <fill>
      <patternFill patternType="solid">
        <fgColor rgb="FFDDEBF7"/>
      </patternFill>
    </fill>
    <fill>
      <patternFill patternType="solid">
        <fgColor rgb="FF17324D"/>
      </patternFill>
    </fill>
    <fill>
      <patternFill patternType="solid">
        <fgColor rgb="FFE7EDF3"/>
      </patternFill>
    </fill>
    <fill>
      <patternFill patternType="solid">
        <fgColor rgb="FF7C3AED"/>
      </patternFill>
    </fill>
    <fill>
      <patternFill patternType="solid">
        <fgColor rgb="FFF4F6F8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D9F0ED"/>
      </patternFill>
    </fill>
    <fill>
      <patternFill patternType="solid">
        <fgColor rgb="FFEDE9FE"/>
      </patternFill>
    </fill>
    <fill>
      <patternFill patternType="solid">
        <fgColor rgb="FFDDEBF7"/>
      </patternFill>
    </fill>
    <fill>
      <patternFill patternType="solid">
        <fgColor rgb="FFD9F0ED"/>
      </patternFill>
    </fill>
    <fill>
      <patternFill patternType="solid">
        <fgColor rgb="FFEDE9FE"/>
      </patternFill>
    </fill>
  </fills>
  <borders count="24">
    <border>
      <left/>
      <right/>
      <top/>
      <bottom/>
      <diagonal/>
    </border>
    <border>
      <left style="thin">
        <color rgb="FFB9C3CE"/>
      </left>
      <right/>
      <top style="thin">
        <color rgb="FFB9C3CE"/>
      </top>
      <bottom style="thin">
        <color rgb="FFB9C3CE"/>
      </bottom>
      <diagonal/>
    </border>
    <border>
      <left/>
      <right/>
      <top style="thin">
        <color rgb="FFB9C3CE"/>
      </top>
      <bottom style="thin">
        <color rgb="FFB9C3CE"/>
      </bottom>
      <diagonal/>
    </border>
    <border>
      <left/>
      <right style="thin">
        <color rgb="FFB9C3CE"/>
      </right>
      <top style="thin">
        <color rgb="FFB9C3CE"/>
      </top>
      <bottom style="thin">
        <color rgb="FFB9C3CE"/>
      </bottom>
      <diagonal/>
    </border>
    <border>
      <left style="thin">
        <color rgb="FFB9C3CE"/>
      </left>
      <right/>
      <top style="thin">
        <color rgb="FFB9C3CE"/>
      </top>
      <bottom/>
      <diagonal/>
    </border>
    <border>
      <left/>
      <right/>
      <top style="thin">
        <color rgb="FFB9C3CE"/>
      </top>
      <bottom/>
      <diagonal/>
    </border>
    <border>
      <left/>
      <right style="thin">
        <color rgb="FFB9C3CE"/>
      </right>
      <top style="thin">
        <color rgb="FFB9C3CE"/>
      </top>
      <bottom/>
      <diagonal/>
    </border>
    <border>
      <left style="thin">
        <color rgb="FFB9C3CE"/>
      </left>
      <right/>
      <top/>
      <bottom/>
      <diagonal/>
    </border>
    <border>
      <left/>
      <right style="thin">
        <color rgb="FFB9C3CE"/>
      </right>
      <top/>
      <bottom/>
      <diagonal/>
    </border>
    <border>
      <left/>
      <right/>
      <top/>
      <bottom style="thin">
        <color rgb="FFDCE2E8"/>
      </bottom>
      <diagonal/>
    </border>
    <border>
      <left/>
      <right/>
      <top style="thin">
        <color rgb="FFDCE2E8"/>
      </top>
      <bottom style="thin">
        <color rgb="FFDCE2E8"/>
      </bottom>
      <diagonal/>
    </border>
    <border>
      <left/>
      <right/>
      <top style="thin">
        <color rgb="FFDCE2E8"/>
      </top>
      <bottom/>
      <diagonal/>
    </border>
    <border>
      <left/>
      <right/>
      <top/>
      <bottom style="thin">
        <color rgb="FFB9C3CE"/>
      </bottom>
      <diagonal/>
    </border>
    <border>
      <left/>
      <right/>
      <top/>
      <bottom style="thin">
        <color rgb="FFD9E0E7"/>
      </bottom>
      <diagonal/>
    </border>
    <border>
      <left/>
      <right/>
      <top style="thin">
        <color rgb="FFD9E0E7"/>
      </top>
      <bottom style="thin">
        <color rgb="FFD9E0E7"/>
      </bottom>
      <diagonal/>
    </border>
    <border>
      <left/>
      <right/>
      <top style="thin">
        <color rgb="FFD9E0E7"/>
      </top>
      <bottom/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</borders>
  <cellStyleXfs count="3">
    <xf numFmtId="0" fontId="0" fillId="0" borderId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136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1" fontId="4" fillId="5" borderId="0" xfId="0" applyNumberFormat="1" applyFont="1" applyFill="1" applyAlignment="1">
      <alignment wrapText="1"/>
    </xf>
    <xf numFmtId="164" fontId="4" fillId="5" borderId="0" xfId="0" applyNumberFormat="1" applyFont="1" applyFill="1" applyAlignment="1">
      <alignment wrapText="1"/>
    </xf>
    <xf numFmtId="165" fontId="4" fillId="5" borderId="0" xfId="0" applyNumberFormat="1" applyFont="1" applyFill="1" applyAlignment="1">
      <alignment wrapText="1"/>
    </xf>
    <xf numFmtId="166" fontId="4" fillId="5" borderId="0" xfId="0" applyNumberFormat="1" applyFont="1" applyFill="1" applyAlignment="1">
      <alignment wrapText="1"/>
    </xf>
    <xf numFmtId="0" fontId="0" fillId="0" borderId="7" xfId="0" applyBorder="1"/>
    <xf numFmtId="0" fontId="0" fillId="0" borderId="8" xfId="0" applyBorder="1"/>
    <xf numFmtId="0" fontId="5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vertical="top" wrapText="1"/>
    </xf>
    <xf numFmtId="1" fontId="6" fillId="5" borderId="9" xfId="0" applyNumberFormat="1" applyFont="1" applyFill="1" applyBorder="1" applyAlignment="1">
      <alignment vertical="top" wrapText="1"/>
    </xf>
    <xf numFmtId="164" fontId="6" fillId="5" borderId="9" xfId="0" applyNumberFormat="1" applyFont="1" applyFill="1" applyBorder="1" applyAlignment="1">
      <alignment vertical="top" wrapText="1"/>
    </xf>
    <xf numFmtId="165" fontId="6" fillId="5" borderId="9" xfId="0" applyNumberFormat="1" applyFont="1" applyFill="1" applyBorder="1" applyAlignment="1">
      <alignment vertical="top" wrapText="1"/>
    </xf>
    <xf numFmtId="164" fontId="0" fillId="0" borderId="9" xfId="0" applyNumberFormat="1" applyBorder="1" applyAlignment="1">
      <alignment vertical="top" wrapText="1"/>
    </xf>
    <xf numFmtId="0" fontId="0" fillId="0" borderId="10" xfId="0" applyBorder="1" applyAlignment="1">
      <alignment vertical="top" wrapText="1"/>
    </xf>
    <xf numFmtId="1" fontId="6" fillId="5" borderId="10" xfId="0" applyNumberFormat="1" applyFont="1" applyFill="1" applyBorder="1" applyAlignment="1">
      <alignment vertical="top" wrapText="1"/>
    </xf>
    <xf numFmtId="164" fontId="6" fillId="5" borderId="10" xfId="0" applyNumberFormat="1" applyFont="1" applyFill="1" applyBorder="1" applyAlignment="1">
      <alignment vertical="top" wrapText="1"/>
    </xf>
    <xf numFmtId="165" fontId="6" fillId="5" borderId="10" xfId="0" applyNumberFormat="1" applyFont="1" applyFill="1" applyBorder="1" applyAlignment="1">
      <alignment vertical="top" wrapText="1"/>
    </xf>
    <xf numFmtId="164" fontId="0" fillId="0" borderId="10" xfId="0" applyNumberForma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0" fillId="6" borderId="9" xfId="0" applyFill="1" applyBorder="1" applyAlignment="1">
      <alignment vertical="top" wrapText="1"/>
    </xf>
    <xf numFmtId="0" fontId="0" fillId="6" borderId="10" xfId="0" applyFill="1" applyBorder="1" applyAlignment="1">
      <alignment vertical="top" wrapText="1"/>
    </xf>
    <xf numFmtId="169" fontId="0" fillId="0" borderId="9" xfId="0" applyNumberFormat="1" applyBorder="1" applyAlignment="1">
      <alignment vertical="top" wrapText="1"/>
    </xf>
    <xf numFmtId="169" fontId="0" fillId="0" borderId="10" xfId="0" applyNumberFormat="1" applyBorder="1" applyAlignment="1">
      <alignment vertical="top" wrapText="1"/>
    </xf>
    <xf numFmtId="169" fontId="0" fillId="0" borderId="11" xfId="0" applyNumberForma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170" fontId="4" fillId="5" borderId="0" xfId="0" applyNumberFormat="1" applyFont="1" applyFill="1" applyAlignment="1">
      <alignment wrapText="1"/>
    </xf>
    <xf numFmtId="164" fontId="8" fillId="7" borderId="9" xfId="0" applyNumberFormat="1" applyFont="1" applyFill="1" applyBorder="1" applyAlignment="1">
      <alignment vertical="top" wrapText="1"/>
    </xf>
    <xf numFmtId="167" fontId="8" fillId="7" borderId="9" xfId="0" applyNumberFormat="1" applyFont="1" applyFill="1" applyBorder="1" applyAlignment="1">
      <alignment vertical="top" wrapText="1"/>
    </xf>
    <xf numFmtId="1" fontId="8" fillId="7" borderId="9" xfId="0" applyNumberFormat="1" applyFont="1" applyFill="1" applyBorder="1" applyAlignment="1">
      <alignment vertical="top" wrapText="1"/>
    </xf>
    <xf numFmtId="0" fontId="8" fillId="7" borderId="9" xfId="0" applyFont="1" applyFill="1" applyBorder="1" applyAlignment="1">
      <alignment vertical="top" wrapText="1"/>
    </xf>
    <xf numFmtId="164" fontId="8" fillId="7" borderId="10" xfId="0" applyNumberFormat="1" applyFont="1" applyFill="1" applyBorder="1" applyAlignment="1">
      <alignment vertical="top" wrapText="1"/>
    </xf>
    <xf numFmtId="167" fontId="8" fillId="7" borderId="10" xfId="0" applyNumberFormat="1" applyFont="1" applyFill="1" applyBorder="1" applyAlignment="1">
      <alignment vertical="top" wrapText="1"/>
    </xf>
    <xf numFmtId="1" fontId="8" fillId="7" borderId="10" xfId="0" applyNumberFormat="1" applyFont="1" applyFill="1" applyBorder="1" applyAlignment="1">
      <alignment vertical="top" wrapText="1"/>
    </xf>
    <xf numFmtId="0" fontId="8" fillId="7" borderId="10" xfId="0" applyFont="1" applyFill="1" applyBorder="1" applyAlignment="1">
      <alignment vertical="top" wrapText="1"/>
    </xf>
    <xf numFmtId="171" fontId="8" fillId="0" borderId="9" xfId="0" applyNumberFormat="1" applyFont="1" applyBorder="1" applyAlignment="1">
      <alignment vertical="top" wrapText="1"/>
    </xf>
    <xf numFmtId="171" fontId="8" fillId="0" borderId="10" xfId="0" applyNumberFormat="1" applyFont="1" applyBorder="1" applyAlignment="1">
      <alignment vertical="top" wrapText="1"/>
    </xf>
    <xf numFmtId="0" fontId="7" fillId="11" borderId="1" xfId="0" applyFont="1" applyFill="1" applyBorder="1" applyAlignment="1">
      <alignment wrapText="1"/>
    </xf>
    <xf numFmtId="0" fontId="7" fillId="11" borderId="2" xfId="0" applyFont="1" applyFill="1" applyBorder="1" applyAlignment="1">
      <alignment wrapText="1"/>
    </xf>
    <xf numFmtId="0" fontId="7" fillId="11" borderId="3" xfId="0" applyFont="1" applyFill="1" applyBorder="1" applyAlignment="1">
      <alignment wrapText="1"/>
    </xf>
    <xf numFmtId="0" fontId="8" fillId="0" borderId="13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9" fillId="8" borderId="13" xfId="0" applyFont="1" applyFill="1" applyBorder="1" applyAlignment="1">
      <alignment wrapText="1"/>
    </xf>
    <xf numFmtId="0" fontId="9" fillId="8" borderId="14" xfId="0" applyFont="1" applyFill="1" applyBorder="1" applyAlignment="1">
      <alignment wrapText="1"/>
    </xf>
    <xf numFmtId="0" fontId="9" fillId="8" borderId="15" xfId="0" applyFont="1" applyFill="1" applyBorder="1" applyAlignment="1">
      <alignment wrapText="1"/>
    </xf>
    <xf numFmtId="171" fontId="9" fillId="8" borderId="13" xfId="0" applyNumberFormat="1" applyFont="1" applyFill="1" applyBorder="1" applyAlignment="1">
      <alignment wrapText="1"/>
    </xf>
    <xf numFmtId="171" fontId="9" fillId="8" borderId="14" xfId="0" applyNumberFormat="1" applyFont="1" applyFill="1" applyBorder="1" applyAlignment="1">
      <alignment wrapText="1"/>
    </xf>
    <xf numFmtId="171" fontId="9" fillId="8" borderId="15" xfId="0" applyNumberFormat="1" applyFont="1" applyFill="1" applyBorder="1" applyAlignment="1">
      <alignment wrapText="1"/>
    </xf>
    <xf numFmtId="165" fontId="9" fillId="8" borderId="13" xfId="0" applyNumberFormat="1" applyFont="1" applyFill="1" applyBorder="1" applyAlignment="1">
      <alignment wrapText="1"/>
    </xf>
    <xf numFmtId="165" fontId="9" fillId="8" borderId="14" xfId="0" applyNumberFormat="1" applyFont="1" applyFill="1" applyBorder="1" applyAlignment="1">
      <alignment wrapText="1"/>
    </xf>
    <xf numFmtId="165" fontId="9" fillId="8" borderId="15" xfId="0" applyNumberFormat="1" applyFont="1" applyFill="1" applyBorder="1" applyAlignment="1">
      <alignment wrapText="1"/>
    </xf>
    <xf numFmtId="1" fontId="9" fillId="8" borderId="13" xfId="0" applyNumberFormat="1" applyFont="1" applyFill="1" applyBorder="1" applyAlignment="1">
      <alignment wrapText="1"/>
    </xf>
    <xf numFmtId="1" fontId="9" fillId="8" borderId="14" xfId="0" applyNumberFormat="1" applyFont="1" applyFill="1" applyBorder="1" applyAlignment="1">
      <alignment wrapText="1"/>
    </xf>
    <xf numFmtId="1" fontId="9" fillId="8" borderId="15" xfId="0" applyNumberFormat="1" applyFont="1" applyFill="1" applyBorder="1" applyAlignment="1">
      <alignment wrapText="1"/>
    </xf>
    <xf numFmtId="171" fontId="8" fillId="0" borderId="13" xfId="0" applyNumberFormat="1" applyFont="1" applyBorder="1" applyAlignment="1">
      <alignment wrapText="1"/>
    </xf>
    <xf numFmtId="171" fontId="8" fillId="0" borderId="14" xfId="0" applyNumberFormat="1" applyFont="1" applyBorder="1" applyAlignment="1">
      <alignment wrapText="1"/>
    </xf>
    <xf numFmtId="171" fontId="8" fillId="0" borderId="15" xfId="0" applyNumberFormat="1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3" fillId="12" borderId="0" xfId="0" applyFont="1" applyFill="1"/>
    <xf numFmtId="0" fontId="13" fillId="12" borderId="12" xfId="0" applyFont="1" applyFill="1" applyBorder="1"/>
    <xf numFmtId="0" fontId="12" fillId="12" borderId="0" xfId="0" applyFont="1" applyFill="1"/>
    <xf numFmtId="168" fontId="12" fillId="12" borderId="12" xfId="0" applyNumberFormat="1" applyFont="1" applyFill="1" applyBorder="1"/>
    <xf numFmtId="0" fontId="7" fillId="14" borderId="0" xfId="0" applyFont="1" applyFill="1"/>
    <xf numFmtId="0" fontId="7" fillId="14" borderId="0" xfId="0" applyFont="1" applyFill="1" applyAlignment="1">
      <alignment wrapText="1"/>
    </xf>
    <xf numFmtId="171" fontId="11" fillId="0" borderId="13" xfId="0" applyNumberFormat="1" applyFont="1" applyBorder="1" applyAlignment="1">
      <alignment wrapText="1"/>
    </xf>
    <xf numFmtId="171" fontId="11" fillId="0" borderId="14" xfId="0" applyNumberFormat="1" applyFont="1" applyBorder="1" applyAlignment="1">
      <alignment wrapText="1"/>
    </xf>
    <xf numFmtId="171" fontId="11" fillId="0" borderId="15" xfId="0" applyNumberFormat="1" applyFont="1" applyBorder="1" applyAlignment="1">
      <alignment wrapText="1"/>
    </xf>
    <xf numFmtId="0" fontId="11" fillId="15" borderId="13" xfId="0" applyFont="1" applyFill="1" applyBorder="1" applyAlignment="1">
      <alignment wrapText="1"/>
    </xf>
    <xf numFmtId="0" fontId="11" fillId="15" borderId="14" xfId="0" applyFont="1" applyFill="1" applyBorder="1" applyAlignment="1">
      <alignment wrapText="1"/>
    </xf>
    <xf numFmtId="0" fontId="11" fillId="15" borderId="15" xfId="0" applyFont="1" applyFill="1" applyBorder="1" applyAlignment="1">
      <alignment wrapText="1"/>
    </xf>
    <xf numFmtId="0" fontId="8" fillId="16" borderId="13" xfId="0" applyFont="1" applyFill="1" applyBorder="1" applyAlignment="1">
      <alignment wrapText="1"/>
    </xf>
    <xf numFmtId="0" fontId="8" fillId="16" borderId="14" xfId="0" applyFont="1" applyFill="1" applyBorder="1" applyAlignment="1">
      <alignment wrapText="1"/>
    </xf>
    <xf numFmtId="0" fontId="8" fillId="16" borderId="15" xfId="0" applyFont="1" applyFill="1" applyBorder="1" applyAlignment="1">
      <alignment wrapText="1"/>
    </xf>
    <xf numFmtId="172" fontId="8" fillId="0" borderId="13" xfId="0" applyNumberFormat="1" applyFont="1" applyBorder="1" applyAlignment="1">
      <alignment wrapText="1"/>
    </xf>
    <xf numFmtId="172" fontId="8" fillId="0" borderId="15" xfId="0" applyNumberFormat="1" applyFont="1" applyBorder="1" applyAlignment="1">
      <alignment wrapText="1"/>
    </xf>
    <xf numFmtId="173" fontId="8" fillId="0" borderId="13" xfId="0" applyNumberFormat="1" applyFont="1" applyBorder="1" applyAlignment="1">
      <alignment wrapText="1"/>
    </xf>
    <xf numFmtId="173" fontId="8" fillId="0" borderId="14" xfId="0" applyNumberFormat="1" applyFont="1" applyBorder="1" applyAlignment="1">
      <alignment wrapText="1"/>
    </xf>
    <xf numFmtId="173" fontId="8" fillId="0" borderId="15" xfId="0" applyNumberFormat="1" applyFont="1" applyBorder="1" applyAlignment="1">
      <alignment wrapText="1"/>
    </xf>
    <xf numFmtId="0" fontId="15" fillId="13" borderId="0" xfId="0" applyFont="1" applyFill="1" applyAlignment="1">
      <alignment wrapText="1"/>
    </xf>
    <xf numFmtId="0" fontId="9" fillId="17" borderId="0" xfId="0" applyFont="1" applyFill="1"/>
    <xf numFmtId="0" fontId="8" fillId="0" borderId="0" xfId="0" applyFont="1"/>
    <xf numFmtId="171" fontId="9" fillId="17" borderId="0" xfId="0" applyNumberFormat="1" applyFont="1" applyFill="1"/>
    <xf numFmtId="165" fontId="9" fillId="17" borderId="0" xfId="0" applyNumberFormat="1" applyFont="1" applyFill="1"/>
    <xf numFmtId="1" fontId="9" fillId="17" borderId="0" xfId="0" applyNumberFormat="1" applyFont="1" applyFill="1"/>
    <xf numFmtId="171" fontId="8" fillId="0" borderId="0" xfId="0" applyNumberFormat="1" applyFont="1"/>
    <xf numFmtId="167" fontId="8" fillId="0" borderId="0" xfId="0" applyNumberFormat="1" applyFont="1"/>
    <xf numFmtId="0" fontId="11" fillId="0" borderId="0" xfId="0" applyFont="1"/>
    <xf numFmtId="0" fontId="9" fillId="17" borderId="0" xfId="0" applyFont="1" applyFill="1" applyAlignment="1">
      <alignment wrapText="1"/>
    </xf>
    <xf numFmtId="171" fontId="9" fillId="17" borderId="0" xfId="0" applyNumberFormat="1" applyFont="1" applyFill="1" applyAlignment="1">
      <alignment wrapText="1"/>
    </xf>
    <xf numFmtId="165" fontId="9" fillId="17" borderId="0" xfId="0" applyNumberFormat="1" applyFont="1" applyFill="1" applyAlignment="1">
      <alignment wrapText="1"/>
    </xf>
    <xf numFmtId="1" fontId="9" fillId="17" borderId="0" xfId="0" applyNumberFormat="1" applyFont="1" applyFill="1" applyAlignment="1">
      <alignment wrapText="1"/>
    </xf>
    <xf numFmtId="0" fontId="12" fillId="0" borderId="10" xfId="0" applyFont="1" applyBorder="1" applyAlignment="1">
      <alignment vertical="top" wrapText="1"/>
    </xf>
    <xf numFmtId="0" fontId="11" fillId="0" borderId="10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8" fillId="18" borderId="10" xfId="0" applyFont="1" applyFill="1" applyBorder="1" applyAlignment="1">
      <alignment vertical="top" wrapText="1"/>
    </xf>
    <xf numFmtId="171" fontId="11" fillId="0" borderId="10" xfId="0" applyNumberFormat="1" applyFont="1" applyBorder="1" applyAlignment="1">
      <alignment vertical="top" wrapText="1"/>
    </xf>
    <xf numFmtId="171" fontId="11" fillId="0" borderId="0" xfId="0" applyNumberFormat="1" applyFont="1"/>
    <xf numFmtId="0" fontId="15" fillId="19" borderId="0" xfId="0" applyFont="1" applyFill="1" applyAlignment="1">
      <alignment wrapText="1"/>
    </xf>
    <xf numFmtId="172" fontId="0" fillId="0" borderId="0" xfId="0" applyNumberFormat="1" applyAlignment="1">
      <alignment wrapText="1"/>
    </xf>
    <xf numFmtId="44" fontId="4" fillId="5" borderId="0" xfId="1" applyFont="1" applyFill="1" applyAlignment="1">
      <alignment wrapText="1"/>
    </xf>
    <xf numFmtId="9" fontId="4" fillId="5" borderId="0" xfId="2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7" fillId="9" borderId="0" xfId="0" applyFont="1" applyFill="1"/>
    <xf numFmtId="0" fontId="10" fillId="10" borderId="0" xfId="0" applyFont="1" applyFill="1"/>
    <xf numFmtId="0" fontId="14" fillId="13" borderId="16" xfId="0" applyFont="1" applyFill="1" applyBorder="1" applyAlignment="1">
      <alignment vertical="center" wrapText="1"/>
    </xf>
    <xf numFmtId="0" fontId="14" fillId="13" borderId="17" xfId="0" applyFont="1" applyFill="1" applyBorder="1" applyAlignment="1">
      <alignment vertical="center" wrapText="1"/>
    </xf>
    <xf numFmtId="0" fontId="14" fillId="13" borderId="18" xfId="0" applyFont="1" applyFill="1" applyBorder="1" applyAlignment="1">
      <alignment vertical="center" wrapText="1"/>
    </xf>
    <xf numFmtId="0" fontId="14" fillId="13" borderId="19" xfId="0" applyFont="1" applyFill="1" applyBorder="1" applyAlignment="1">
      <alignment vertical="center" wrapText="1"/>
    </xf>
    <xf numFmtId="0" fontId="14" fillId="13" borderId="0" xfId="0" applyFont="1" applyFill="1" applyAlignment="1">
      <alignment vertical="center" wrapText="1"/>
    </xf>
    <xf numFmtId="0" fontId="14" fillId="13" borderId="20" xfId="0" applyFont="1" applyFill="1" applyBorder="1" applyAlignment="1">
      <alignment vertical="center" wrapText="1"/>
    </xf>
    <xf numFmtId="0" fontId="14" fillId="13" borderId="21" xfId="0" applyFont="1" applyFill="1" applyBorder="1" applyAlignment="1">
      <alignment vertical="center" wrapText="1"/>
    </xf>
    <xf numFmtId="0" fontId="14" fillId="13" borderId="22" xfId="0" applyFont="1" applyFill="1" applyBorder="1" applyAlignment="1">
      <alignment vertical="center" wrapText="1"/>
    </xf>
    <xf numFmtId="0" fontId="14" fillId="13" borderId="2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10" fillId="10" borderId="0" xfId="0" applyFont="1" applyFill="1" applyAlignment="1">
      <alignment wrapText="1"/>
    </xf>
    <xf numFmtId="0" fontId="0" fillId="0" borderId="0" xfId="0"/>
  </cellXfs>
  <cellStyles count="3">
    <cellStyle name="Currency" xfId="1" builtinId="4"/>
    <cellStyle name="Normal" xfId="0" builtinId="0"/>
    <cellStyle name="Per cent" xfId="2" builtinId="5"/>
  </cellStyles>
  <dxfs count="5"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7C3AED"/>
      </font>
      <fill>
        <patternFill>
          <bgColor rgb="FFEDE9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Five-year TCO per device by category (£)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LoRaWAN</c:v>
          </c:tx>
          <c:invertIfNegative val="1"/>
          <c:cat>
            <c:strRef>
              <c:f>Summary!$W$13:$W$29</c:f>
              <c:strCache>
                <c:ptCount val="17"/>
                <c:pt idx="0">
                  <c:v>IAQ sensors</c:v>
                </c:pt>
                <c:pt idx="1">
                  <c:v>People counting / footfall</c:v>
                </c:pt>
                <c:pt idx="2">
                  <c:v>Parking bay sensors</c:v>
                </c:pt>
                <c:pt idx="3">
                  <c:v>Room displays</c:v>
                </c:pt>
                <c:pt idx="4">
                  <c:v>Lux sensors</c:v>
                </c:pt>
                <c:pt idx="5">
                  <c:v>Metering — electricity and water</c:v>
                </c:pt>
                <c:pt idx="6">
                  <c:v>Fridge / process temperature</c:v>
                </c:pt>
                <c:pt idx="7">
                  <c:v>Waste water monitoring</c:v>
                </c:pt>
                <c:pt idx="8">
                  <c:v>Water temperature</c:v>
                </c:pt>
                <c:pt idx="9">
                  <c:v>Water flow</c:v>
                </c:pt>
                <c:pt idx="10">
                  <c:v>Water leak detection</c:v>
                </c:pt>
                <c:pt idx="11">
                  <c:v>Acoustic sensors</c:v>
                </c:pt>
                <c:pt idx="12">
                  <c:v>Bin fill level — ultrasonic</c:v>
                </c:pt>
                <c:pt idx="13">
                  <c:v>Optical bin sensors / computer vision</c:v>
                </c:pt>
                <c:pt idx="14">
                  <c:v>Vibration sensors</c:v>
                </c:pt>
                <c:pt idx="15">
                  <c:v>Pressure sensors — medical gases</c:v>
                </c:pt>
                <c:pt idx="16">
                  <c:v>Ultrasonic non-invasive — medical gases</c:v>
                </c:pt>
              </c:strCache>
            </c:strRef>
          </c:cat>
          <c:val>
            <c:numRef>
              <c:f>Summary!$X$13:$X$29</c:f>
              <c:numCache>
                <c:formatCode>General</c:formatCode>
                <c:ptCount val="17"/>
                <c:pt idx="0">
                  <c:v>284.05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6-4281-9ADE-458AB85C6C94}"/>
            </c:ext>
          </c:extLst>
        </c:ser>
        <c:ser>
          <c:idx val="1"/>
          <c:order val="1"/>
          <c:tx>
            <c:v>NB-IoT</c:v>
          </c:tx>
          <c:invertIfNegative val="1"/>
          <c:cat>
            <c:strRef>
              <c:f>Summary!$W$13:$W$29</c:f>
              <c:strCache>
                <c:ptCount val="17"/>
                <c:pt idx="0">
                  <c:v>IAQ sensors</c:v>
                </c:pt>
                <c:pt idx="1">
                  <c:v>People counting / footfall</c:v>
                </c:pt>
                <c:pt idx="2">
                  <c:v>Parking bay sensors</c:v>
                </c:pt>
                <c:pt idx="3">
                  <c:v>Room displays</c:v>
                </c:pt>
                <c:pt idx="4">
                  <c:v>Lux sensors</c:v>
                </c:pt>
                <c:pt idx="5">
                  <c:v>Metering — electricity and water</c:v>
                </c:pt>
                <c:pt idx="6">
                  <c:v>Fridge / process temperature</c:v>
                </c:pt>
                <c:pt idx="7">
                  <c:v>Waste water monitoring</c:v>
                </c:pt>
                <c:pt idx="8">
                  <c:v>Water temperature</c:v>
                </c:pt>
                <c:pt idx="9">
                  <c:v>Water flow</c:v>
                </c:pt>
                <c:pt idx="10">
                  <c:v>Water leak detection</c:v>
                </c:pt>
                <c:pt idx="11">
                  <c:v>Acoustic sensors</c:v>
                </c:pt>
                <c:pt idx="12">
                  <c:v>Bin fill level — ultrasonic</c:v>
                </c:pt>
                <c:pt idx="13">
                  <c:v>Optical bin sensors / computer vision</c:v>
                </c:pt>
                <c:pt idx="14">
                  <c:v>Vibration sensors</c:v>
                </c:pt>
                <c:pt idx="15">
                  <c:v>Pressure sensors — medical gases</c:v>
                </c:pt>
                <c:pt idx="16">
                  <c:v>Ultrasonic non-invasive — medical gases</c:v>
                </c:pt>
              </c:strCache>
            </c:strRef>
          </c:cat>
          <c:val>
            <c:numRef>
              <c:f>Summary!$Y$13:$Y$29</c:f>
              <c:numCache>
                <c:formatCode>General</c:formatCode>
                <c:ptCount val="17"/>
                <c:pt idx="0">
                  <c:v>356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6-4281-9ADE-458AB85C6C94}"/>
            </c:ext>
          </c:extLst>
        </c:ser>
        <c:ser>
          <c:idx val="2"/>
          <c:order val="2"/>
          <c:tx>
            <c:v>PoE</c:v>
          </c:tx>
          <c:invertIfNegative val="1"/>
          <c:cat>
            <c:strRef>
              <c:f>Summary!$W$13:$W$29</c:f>
              <c:strCache>
                <c:ptCount val="17"/>
                <c:pt idx="0">
                  <c:v>IAQ sensors</c:v>
                </c:pt>
                <c:pt idx="1">
                  <c:v>People counting / footfall</c:v>
                </c:pt>
                <c:pt idx="2">
                  <c:v>Parking bay sensors</c:v>
                </c:pt>
                <c:pt idx="3">
                  <c:v>Room displays</c:v>
                </c:pt>
                <c:pt idx="4">
                  <c:v>Lux sensors</c:v>
                </c:pt>
                <c:pt idx="5">
                  <c:v>Metering — electricity and water</c:v>
                </c:pt>
                <c:pt idx="6">
                  <c:v>Fridge / process temperature</c:v>
                </c:pt>
                <c:pt idx="7">
                  <c:v>Waste water monitoring</c:v>
                </c:pt>
                <c:pt idx="8">
                  <c:v>Water temperature</c:v>
                </c:pt>
                <c:pt idx="9">
                  <c:v>Water flow</c:v>
                </c:pt>
                <c:pt idx="10">
                  <c:v>Water leak detection</c:v>
                </c:pt>
                <c:pt idx="11">
                  <c:v>Acoustic sensors</c:v>
                </c:pt>
                <c:pt idx="12">
                  <c:v>Bin fill level — ultrasonic</c:v>
                </c:pt>
                <c:pt idx="13">
                  <c:v>Optical bin sensors / computer vision</c:v>
                </c:pt>
                <c:pt idx="14">
                  <c:v>Vibration sensors</c:v>
                </c:pt>
                <c:pt idx="15">
                  <c:v>Pressure sensors — medical gases</c:v>
                </c:pt>
                <c:pt idx="16">
                  <c:v>Ultrasonic non-invasive — medical gases</c:v>
                </c:pt>
              </c:strCache>
            </c:strRef>
          </c:cat>
          <c:val>
            <c:numRef>
              <c:f>Summary!$Z$13:$Z$29</c:f>
              <c:numCache>
                <c:formatCode>General</c:formatCode>
                <c:ptCount val="17"/>
                <c:pt idx="0">
                  <c:v>314.60000000000002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06-4281-9ADE-458AB85C6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21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327660</xdr:colOff>
      <xdr:row>26</xdr:row>
      <xdr:rowOff>236220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D351B46F-B105-8718-D228-66152B8E52A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323850</xdr:colOff>
      <xdr:row>26</xdr:row>
      <xdr:rowOff>161925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A20F2BD0-8D45-2C16-3C4E-B53291A5C3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22</xdr:row>
      <xdr:rowOff>30480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21F168AF-D0EE-94E5-84DD-6F94FC1CF6C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22</xdr:row>
      <xdr:rowOff>57150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B278548-A57C-EE9E-42A4-D1C14514E1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C4FE8870-BC32-456F-AE2A-A0E6ED46AE75}" userId="" providerId=""/>
  <person displayName="User" id="{232A6D7C-946F-46B4-AC8C-BF9C5E94A794}" userId="" providerId=""/>
  <person displayName="Bellis Thomas (RBT) Mid Cheshire Tr" id="{32C30540-154C-4732-A243-1F023953A61F}" userId="S::thomas.bellis@mcht.nhs.uk::88700dfc-8325-454f-be3a-656066904dad" providerId="AD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2" dT="2026-07-31T10:19:53.29" personId="{C4FE8870-BC32-456F-AE2A-A0E6ED46AE75}" id="{7C85440E-6D8A-37D1-915C-0275B53D0CF9}">
    <text>Planning placeholder for the incremental PoE-capable switch, UPS and network capacity required by the deployment. Replace with a vendor quote.</text>
  </threadedComment>
  <threadedComment ref="B27" dT="2026-07-31T10:19:53.29" personId="{C4FE8870-BC32-456F-AE2A-A0E6ED46AE75}" id="{C5AA0A37-D349-6B48-CF8E-30AA9CF5271B}">
    <text>Planning energy rate. Replace with the organisation's delivered electricity tariff, including applicable levies.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1" dT="2026-07-31T10:27:22.46" personId="{232A6D7C-946F-46B4-AC8C-BF9C5E94A794}" id="{D0C2EF48-A6B8-2342-D61D-71D15D37DFDE}">
    <text>Planning allowance for a privacy-preserving people-counting endpoint. Replace with the selected thermal, time-of-flight, radar or edge-analytics device quotation.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9" dT="2026-08-03T08:14:06.69" personId="{32C30540-154C-4732-A243-1F023953A61F}" id="{F3D98EBC-31D1-4090-8CAA-66379AA921DD}">
    <text>Technical need input</text>
  </threadedComment>
  <threadedComment ref="A11" dT="2026-08-03T08:14:34.02" personId="{32C30540-154C-4732-A243-1F023953A61F}" id="{C4D240B2-0FE2-43AD-AB6B-DED2EFA5DD7C}">
    <text>Rule of thumb for wards/departments and external</text>
  </threadedComment>
  <threadedComment ref="A12" dT="2026-08-03T08:15:04.81" personId="{32C30540-154C-4732-A243-1F023953A61F}" id="{36CA1F47-C3E0-4ECA-AC99-53FABE1CDDAF}">
    <text>Sentinel points, representative points</text>
  </threadedComment>
  <threadedComment ref="A14" dT="2026-08-03T08:15:21.32" personId="{32C30540-154C-4732-A243-1F023953A61F}" id="{513FF9FA-DD51-40FD-9D75-D63475F54E8A}">
    <text>Ensuites</text>
  </threadedComment>
  <threadedComment ref="A15" dT="2026-08-03T08:15:58.95" personId="{32C30540-154C-4732-A243-1F023953A61F}" id="{4076915E-3DDD-4896-98A8-77BFFDB68FDB}">
    <text>AMR model</text>
  </threadedComment>
  <threadedComment ref="A18" dT="2026-08-03T08:16:45.45" personId="{32C30540-154C-4732-A243-1F023953A61F}" id="{5652D24E-5E88-42A9-BE2D-540480E68C8D}">
    <text>AHUs, pumps</text>
  </threadedComment>
  <threadedComment ref="A19" dT="2026-08-03T08:17:01.12" personId="{32C30540-154C-4732-A243-1F023953A61F}" id="{3E3F96CF-CABE-40E1-9AE7-5AD26FF279F4}">
    <text xml:space="preserve">Number of AVSUs </text>
  </threadedComment>
  <threadedComment ref="A20" dT="2026-08-03T08:21:13.85" personId="{32C30540-154C-4732-A243-1F023953A61F}" id="{722F4C0B-DB2D-4CDB-AEC5-9C624C31DB0A}">
    <text>Branches, VIE plant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showGridLines="0" topLeftCell="A4" zoomScale="70" zoomScaleNormal="70" workbookViewId="0">
      <selection sqref="A1:J1"/>
    </sheetView>
  </sheetViews>
  <sheetFormatPr defaultRowHeight="14.25"/>
  <cols>
    <col min="1" max="1" width="28" customWidth="1"/>
    <col min="2" max="4" width="10" customWidth="1"/>
    <col min="5" max="7" width="15" customWidth="1"/>
    <col min="8" max="8" width="18" customWidth="1"/>
    <col min="9" max="9" width="48" customWidth="1"/>
    <col min="10" max="10" width="12" customWidth="1"/>
    <col min="20" max="20" width="35.375" customWidth="1"/>
    <col min="21" max="21" width="9.375" customWidth="1"/>
    <col min="22" max="22" width="9.125" customWidth="1"/>
  </cols>
  <sheetData>
    <row r="1" spans="1:26" ht="30" customHeight="1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26" ht="28.15" customHeight="1">
      <c r="A2" s="119" t="s">
        <v>1</v>
      </c>
      <c r="B2" s="119"/>
      <c r="C2" s="119"/>
      <c r="D2" s="119"/>
      <c r="E2" s="119"/>
      <c r="F2" s="119"/>
      <c r="G2" s="119"/>
      <c r="H2" s="119"/>
      <c r="I2" s="119"/>
      <c r="J2" s="119"/>
    </row>
    <row r="4" spans="1:26" ht="15">
      <c r="A4" s="118" t="s">
        <v>2</v>
      </c>
      <c r="B4" s="118"/>
      <c r="D4" s="118" t="s">
        <v>3</v>
      </c>
      <c r="E4" s="118"/>
      <c r="F4" s="118"/>
      <c r="G4" s="118"/>
      <c r="H4" s="118"/>
      <c r="I4" s="118"/>
      <c r="J4" s="118"/>
    </row>
    <row r="5" spans="1:26" ht="15">
      <c r="A5" s="73" t="s">
        <v>4</v>
      </c>
      <c r="B5" s="75">
        <f>COUNTA('Category Model'!A5:A21)</f>
        <v>17</v>
      </c>
      <c r="D5" s="120" t="s">
        <v>403</v>
      </c>
      <c r="E5" s="121"/>
      <c r="F5" s="121"/>
      <c r="G5" s="121"/>
      <c r="H5" s="121"/>
      <c r="I5" s="121"/>
      <c r="J5" s="122"/>
    </row>
    <row r="6" spans="1:26" ht="15">
      <c r="A6" s="73" t="s">
        <v>5</v>
      </c>
      <c r="B6" s="75">
        <f>COUNT('Category Model'!C5:C21)</f>
        <v>1</v>
      </c>
      <c r="D6" s="123"/>
      <c r="E6" s="124"/>
      <c r="F6" s="124"/>
      <c r="G6" s="124"/>
      <c r="H6" s="124"/>
      <c r="I6" s="124"/>
      <c r="J6" s="125"/>
    </row>
    <row r="7" spans="1:26" ht="15">
      <c r="A7" s="73" t="s">
        <v>6</v>
      </c>
      <c r="B7" s="75">
        <f>COUNTIF(H13:H29,"LoRaWAN")</f>
        <v>1</v>
      </c>
      <c r="D7" s="123"/>
      <c r="E7" s="124"/>
      <c r="F7" s="124"/>
      <c r="G7" s="124"/>
      <c r="H7" s="124"/>
      <c r="I7" s="124"/>
      <c r="J7" s="125"/>
    </row>
    <row r="8" spans="1:26" ht="15">
      <c r="A8" s="73" t="s">
        <v>7</v>
      </c>
      <c r="B8" s="75">
        <f>COUNTIF(H13:H29,"NB-IoT")</f>
        <v>0</v>
      </c>
      <c r="D8" s="123"/>
      <c r="E8" s="124"/>
      <c r="F8" s="124"/>
      <c r="G8" s="124"/>
      <c r="H8" s="124"/>
      <c r="I8" s="124"/>
      <c r="J8" s="125"/>
    </row>
    <row r="9" spans="1:26" ht="15">
      <c r="A9" s="73" t="s">
        <v>8</v>
      </c>
      <c r="B9" s="75">
        <f>COUNTIF(H13:H29,"PoE")</f>
        <v>0</v>
      </c>
      <c r="D9" s="123"/>
      <c r="E9" s="124"/>
      <c r="F9" s="124"/>
      <c r="G9" s="124"/>
      <c r="H9" s="124"/>
      <c r="I9" s="124"/>
      <c r="J9" s="125"/>
    </row>
    <row r="10" spans="1:26" ht="15">
      <c r="A10" s="74" t="s">
        <v>9</v>
      </c>
      <c r="B10" s="76">
        <f>Assumptions!B5</f>
        <v>5</v>
      </c>
      <c r="D10" s="126"/>
      <c r="E10" s="127"/>
      <c r="F10" s="127"/>
      <c r="G10" s="127"/>
      <c r="H10" s="127"/>
      <c r="I10" s="127"/>
      <c r="J10" s="128"/>
    </row>
    <row r="12" spans="1:26" ht="42" customHeight="1">
      <c r="A12" s="78" t="s">
        <v>10</v>
      </c>
      <c r="B12" s="78" t="s">
        <v>11</v>
      </c>
      <c r="C12" s="78" t="s">
        <v>12</v>
      </c>
      <c r="D12" s="78" t="s">
        <v>13</v>
      </c>
      <c r="E12" s="78" t="s">
        <v>14</v>
      </c>
      <c r="F12" s="78" t="s">
        <v>15</v>
      </c>
      <c r="G12" s="78" t="s">
        <v>16</v>
      </c>
      <c r="H12" s="78" t="s">
        <v>17</v>
      </c>
      <c r="I12" s="78" t="s">
        <v>18</v>
      </c>
      <c r="J12" s="78" t="s">
        <v>19</v>
      </c>
      <c r="W12" t="s">
        <v>10</v>
      </c>
      <c r="X12" t="s">
        <v>404</v>
      </c>
      <c r="Y12" t="s">
        <v>218</v>
      </c>
      <c r="Z12" t="s">
        <v>222</v>
      </c>
    </row>
    <row r="13" spans="1:26" ht="34.15" customHeight="1">
      <c r="A13" s="70" t="str">
        <f>'Category Model'!A5</f>
        <v>IAQ sensors</v>
      </c>
      <c r="B13" s="52">
        <f>'Category Model'!K5</f>
        <v>5</v>
      </c>
      <c r="C13" s="52">
        <f>'Category Model'!L5</f>
        <v>4</v>
      </c>
      <c r="D13" s="52">
        <f>'PoE Model'!H5</f>
        <v>5</v>
      </c>
      <c r="E13" s="79">
        <f>'Category Model'!U5</f>
        <v>284.05</v>
      </c>
      <c r="F13" s="79">
        <f>'Category Model'!Z5</f>
        <v>356</v>
      </c>
      <c r="G13" s="79">
        <f>'PoE Model'!P5</f>
        <v>314.60000000000002</v>
      </c>
      <c r="H13" s="49" t="str">
        <f>IF(COUNT('Category Model'!C5)=0,"Not modelled",IF(MAX(B13:D13)&lt;=2,"Technical constraint",IF(IF(B13&gt;=3,E13,1E+99)=MIN(IF(B13&gt;=3,E13,1E+99),IF(C13&gt;=3,F13,1E+99),IF(D13&gt;=3,G13,1E+99)),"LoRaWAN",IF(IF(C13&gt;=3,F13,1E+99)=MIN(IF(B13&gt;=3,E13,1E+99),IF(C13&gt;=3,F13,1E+99),IF(D13&gt;=3,G13,1E+99)),"NB-IoT","PoE"))))</f>
        <v>LoRaWAN</v>
      </c>
      <c r="I13" s="82" t="str">
        <f>IF(H13="PoE",'PoE Model'!J5,IF(H13="Not modelled","Enter device quantity in Category Model",'Category Model'!N5))</f>
        <v>LoRaWAN for dense estates; NB-IoT for isolated buildings</v>
      </c>
      <c r="J13" s="52" t="str">
        <f>IF(H13="PoE",'PoE Model'!K5,'Category Model'!O5)</f>
        <v>Medium</v>
      </c>
      <c r="T13" t="str">
        <f t="shared" ref="T13:T28" si="0">A13</f>
        <v>IAQ sensors</v>
      </c>
      <c r="U13">
        <f t="shared" ref="U13:U28" si="1">D13</f>
        <v>5</v>
      </c>
      <c r="V13">
        <f t="shared" ref="V13:V28" si="2">E13</f>
        <v>284.05</v>
      </c>
      <c r="W13" t="str">
        <f t="shared" ref="W13:W29" si="3">A13</f>
        <v>IAQ sensors</v>
      </c>
      <c r="X13">
        <f t="shared" ref="X13:X29" si="4">E13</f>
        <v>284.05</v>
      </c>
      <c r="Y13">
        <f t="shared" ref="Y13:Y29" si="5">F13</f>
        <v>356</v>
      </c>
      <c r="Z13">
        <f t="shared" ref="Z13:Z29" si="6">G13</f>
        <v>314.60000000000002</v>
      </c>
    </row>
    <row r="14" spans="1:26" ht="15" customHeight="1">
      <c r="A14" s="106" t="str">
        <f>'Category Model'!A21</f>
        <v>People counting / footfall</v>
      </c>
      <c r="B14" s="107">
        <f>'Category Model'!K21</f>
        <v>4</v>
      </c>
      <c r="C14" s="107">
        <f>'Category Model'!L21</f>
        <v>4</v>
      </c>
      <c r="D14" s="101">
        <f>'PoE Model'!H21</f>
        <v>5</v>
      </c>
      <c r="E14" s="110" t="str">
        <f>'Category Model'!U21</f>
        <v/>
      </c>
      <c r="F14" s="110" t="str">
        <f>'Category Model'!Z21</f>
        <v/>
      </c>
      <c r="G14" s="111" t="str">
        <f>'PoE Model'!P21</f>
        <v/>
      </c>
      <c r="H14" s="108" t="str">
        <f>IF(COUNT('Category Model'!C21)=0,"Not modelled",IF(MAX(B14:D14)&lt;=2,"Technical constraint",IF(IF(B14&gt;=3,E14,1E+99)=MIN(IF(B14&gt;=3,E14,1E+99),IF(C14&gt;=3,F14,1E+99),IF(D14&gt;=3,G14,1E+99)),"LoRaWAN",IF(IF(C14&gt;=3,F14,1E+99)=MIN(IF(B14&gt;=3,E14,1E+99),IF(C14&gt;=3,F14,1E+99),IF(D14&gt;=3,G14,1E+99)),"NB-IoT","PoE"))))</f>
        <v>Not modelled</v>
      </c>
      <c r="I14" s="109" t="str">
        <f>IF(H14="PoE",'PoE Model'!J21,IF(H14="Not modelled","Enter device quantity in Category Model",'Category Model'!N21))</f>
        <v>Enter device quantity in Category Model</v>
      </c>
      <c r="J14" s="108" t="str">
        <f>IF(H14="PoE",'PoE Model'!K21,'Category Model'!O21)</f>
        <v>Medium</v>
      </c>
      <c r="T14" t="str">
        <f t="shared" si="0"/>
        <v>People counting / footfall</v>
      </c>
      <c r="W14" t="str">
        <f>A14</f>
        <v>People counting / footfall</v>
      </c>
      <c r="X14" t="str">
        <f>E14</f>
        <v/>
      </c>
      <c r="Y14" t="str">
        <f>F14</f>
        <v/>
      </c>
      <c r="Z14" t="str">
        <f>G14</f>
        <v/>
      </c>
    </row>
    <row r="15" spans="1:26" ht="34.15" customHeight="1">
      <c r="A15" s="71" t="str">
        <f>'Category Model'!A6</f>
        <v>Parking bay sensors</v>
      </c>
      <c r="B15" s="53">
        <f>'Category Model'!K6</f>
        <v>5</v>
      </c>
      <c r="C15" s="53">
        <f>'Category Model'!L6</f>
        <v>5</v>
      </c>
      <c r="D15" s="53">
        <f>'PoE Model'!H6</f>
        <v>2</v>
      </c>
      <c r="E15" s="80" t="str">
        <f>'Category Model'!U6</f>
        <v/>
      </c>
      <c r="F15" s="80" t="str">
        <f>'Category Model'!Z6</f>
        <v/>
      </c>
      <c r="G15" s="80" t="str">
        <f>'PoE Model'!P6</f>
        <v/>
      </c>
      <c r="H15" s="50" t="str">
        <f>IF(COUNT('Category Model'!C6)=0,"Not modelled",IF(MAX(B15:D15)&lt;=2,"Technical constraint",IF(IF(B15&gt;=3,E15,1E+99)=MIN(IF(B15&gt;=3,E15,1E+99),IF(C15&gt;=3,F15,1E+99),IF(D15&gt;=3,G15,1E+99)),"LoRaWAN",IF(IF(C15&gt;=3,F15,1E+99)=MIN(IF(B15&gt;=3,E15,1E+99),IF(C15&gt;=3,F15,1E+99),IF(D15&gt;=3,G15,1E+99)),"NB-IoT","PoE"))))</f>
        <v>Not modelled</v>
      </c>
      <c r="I15" s="83" t="str">
        <f>IF(H15="PoE",'PoE Model'!J6,IF(H15="Not modelled","Enter device quantity in Category Model",'Category Model'!N6))</f>
        <v>Enter device quantity in Category Model</v>
      </c>
      <c r="J15" s="53" t="str">
        <f>IF(H15="PoE",'PoE Model'!K6,'Category Model'!O6)</f>
        <v>Medium</v>
      </c>
      <c r="T15" t="str">
        <f t="shared" si="0"/>
        <v>Parking bay sensors</v>
      </c>
      <c r="U15">
        <f t="shared" si="1"/>
        <v>2</v>
      </c>
      <c r="V15" t="str">
        <f t="shared" si="2"/>
        <v/>
      </c>
      <c r="W15" t="str">
        <f t="shared" si="3"/>
        <v>Parking bay sensors</v>
      </c>
      <c r="X15" t="str">
        <f t="shared" si="4"/>
        <v/>
      </c>
      <c r="Y15" t="str">
        <f t="shared" si="5"/>
        <v/>
      </c>
      <c r="Z15" t="str">
        <f t="shared" si="6"/>
        <v/>
      </c>
    </row>
    <row r="16" spans="1:26" ht="34.15" customHeight="1">
      <c r="A16" s="71" t="str">
        <f>'Category Model'!A7</f>
        <v>Room displays</v>
      </c>
      <c r="B16" s="53">
        <f>'Category Model'!K7</f>
        <v>3</v>
      </c>
      <c r="C16" s="53">
        <f>'Category Model'!L7</f>
        <v>3</v>
      </c>
      <c r="D16" s="53">
        <f>'PoE Model'!H7</f>
        <v>5</v>
      </c>
      <c r="E16" s="80" t="str">
        <f>'Category Model'!U7</f>
        <v/>
      </c>
      <c r="F16" s="80" t="str">
        <f>'Category Model'!Z7</f>
        <v/>
      </c>
      <c r="G16" s="80" t="str">
        <f>'PoE Model'!P7</f>
        <v/>
      </c>
      <c r="H16" s="50" t="str">
        <f>IF(COUNT('Category Model'!C7)=0,"Not modelled",IF(MAX(B16:D16)&lt;=2,"Technical constraint",IF(IF(B16&gt;=3,E16,1E+99)=MIN(IF(B16&gt;=3,E16,1E+99),IF(C16&gt;=3,F16,1E+99),IF(D16&gt;=3,G16,1E+99)),"LoRaWAN",IF(IF(C16&gt;=3,F16,1E+99)=MIN(IF(B16&gt;=3,E16,1E+99),IF(C16&gt;=3,F16,1E+99),IF(D16&gt;=3,G16,1E+99)),"NB-IoT","PoE"))))</f>
        <v>Not modelled</v>
      </c>
      <c r="I16" s="83" t="str">
        <f>IF(H16="PoE",'PoE Model'!J7,IF(H16="Not modelled","Enter device quantity in Category Model",'Category Model'!N7))</f>
        <v>Enter device quantity in Category Model</v>
      </c>
      <c r="J16" s="53" t="str">
        <f>IF(H16="PoE",'PoE Model'!K7,'Category Model'!O7)</f>
        <v>Low</v>
      </c>
      <c r="T16" t="str">
        <f t="shared" si="0"/>
        <v>Room displays</v>
      </c>
      <c r="U16">
        <f t="shared" si="1"/>
        <v>5</v>
      </c>
      <c r="V16" t="str">
        <f t="shared" si="2"/>
        <v/>
      </c>
      <c r="W16" t="str">
        <f t="shared" si="3"/>
        <v>Room displays</v>
      </c>
      <c r="X16" t="str">
        <f t="shared" si="4"/>
        <v/>
      </c>
      <c r="Y16" t="str">
        <f t="shared" si="5"/>
        <v/>
      </c>
      <c r="Z16" t="str">
        <f t="shared" si="6"/>
        <v/>
      </c>
    </row>
    <row r="17" spans="1:26" ht="34.15" customHeight="1">
      <c r="A17" s="71" t="str">
        <f>'Category Model'!A8</f>
        <v>Lux sensors</v>
      </c>
      <c r="B17" s="53">
        <f>'Category Model'!K8</f>
        <v>5</v>
      </c>
      <c r="C17" s="53">
        <f>'Category Model'!L8</f>
        <v>4</v>
      </c>
      <c r="D17" s="53">
        <f>'PoE Model'!H8</f>
        <v>5</v>
      </c>
      <c r="E17" s="80" t="str">
        <f>'Category Model'!U8</f>
        <v/>
      </c>
      <c r="F17" s="80" t="str">
        <f>'Category Model'!Z8</f>
        <v/>
      </c>
      <c r="G17" s="80" t="str">
        <f>'PoE Model'!P8</f>
        <v/>
      </c>
      <c r="H17" s="50" t="str">
        <f>IF(COUNT('Category Model'!C8)=0,"Not modelled",IF(MAX(B17:D17)&lt;=2,"Technical constraint",IF(IF(B17&gt;=3,E17,1E+99)=MIN(IF(B17&gt;=3,E17,1E+99),IF(C17&gt;=3,F17,1E+99),IF(D17&gt;=3,G17,1E+99)),"LoRaWAN",IF(IF(C17&gt;=3,F17,1E+99)=MIN(IF(B17&gt;=3,E17,1E+99),IF(C17&gt;=3,F17,1E+99),IF(D17&gt;=3,G17,1E+99)),"NB-IoT","PoE"))))</f>
        <v>Not modelled</v>
      </c>
      <c r="I17" s="83" t="str">
        <f>IF(H17="PoE",'PoE Model'!J8,IF(H17="Not modelled","Enter device quantity in Category Model",'Category Model'!N8))</f>
        <v>Enter device quantity in Category Model</v>
      </c>
      <c r="J17" s="53" t="str">
        <f>IF(H17="PoE",'PoE Model'!K8,'Category Model'!O8)</f>
        <v>Medium</v>
      </c>
      <c r="T17" t="str">
        <f t="shared" si="0"/>
        <v>Lux sensors</v>
      </c>
      <c r="U17">
        <f t="shared" si="1"/>
        <v>5</v>
      </c>
      <c r="V17" t="str">
        <f t="shared" si="2"/>
        <v/>
      </c>
      <c r="W17" t="str">
        <f t="shared" si="3"/>
        <v>Lux sensors</v>
      </c>
      <c r="X17" t="str">
        <f t="shared" si="4"/>
        <v/>
      </c>
      <c r="Y17" t="str">
        <f t="shared" si="5"/>
        <v/>
      </c>
      <c r="Z17" t="str">
        <f t="shared" si="6"/>
        <v/>
      </c>
    </row>
    <row r="18" spans="1:26" ht="34.15" customHeight="1">
      <c r="A18" s="71" t="str">
        <f>'Category Model'!A9</f>
        <v>Metering — electricity and water</v>
      </c>
      <c r="B18" s="53">
        <f>'Category Model'!K9</f>
        <v>5</v>
      </c>
      <c r="C18" s="53">
        <f>'Category Model'!L9</f>
        <v>5</v>
      </c>
      <c r="D18" s="53">
        <f>'PoE Model'!H9</f>
        <v>4</v>
      </c>
      <c r="E18" s="80" t="str">
        <f>'Category Model'!U9</f>
        <v/>
      </c>
      <c r="F18" s="80" t="str">
        <f>'Category Model'!Z9</f>
        <v/>
      </c>
      <c r="G18" s="80" t="str">
        <f>'PoE Model'!P9</f>
        <v/>
      </c>
      <c r="H18" s="50" t="str">
        <f>IF(COUNT('Category Model'!C9)=0,"Not modelled",IF(MAX(B18:D18)&lt;=2,"Technical constraint",IF(IF(B18&gt;=3,E18,1E+99)=MIN(IF(B18&gt;=3,E18,1E+99),IF(C18&gt;=3,F18,1E+99),IF(D18&gt;=3,G18,1E+99)),"LoRaWAN",IF(IF(C18&gt;=3,F18,1E+99)=MIN(IF(B18&gt;=3,E18,1E+99),IF(C18&gt;=3,F18,1E+99),IF(D18&gt;=3,G18,1E+99)),"NB-IoT","PoE"))))</f>
        <v>Not modelled</v>
      </c>
      <c r="I18" s="83" t="str">
        <f>IF(H18="PoE",'PoE Model'!J9,IF(H18="Not modelled","Enter device quantity in Category Model",'Category Model'!N9))</f>
        <v>Enter device quantity in Category Model</v>
      </c>
      <c r="J18" s="53" t="str">
        <f>IF(H18="PoE",'PoE Model'!K9,'Category Model'!O9)</f>
        <v>High</v>
      </c>
      <c r="T18" t="str">
        <f t="shared" si="0"/>
        <v>Metering — electricity and water</v>
      </c>
      <c r="U18">
        <f t="shared" si="1"/>
        <v>4</v>
      </c>
      <c r="V18" t="str">
        <f t="shared" si="2"/>
        <v/>
      </c>
      <c r="W18" t="str">
        <f t="shared" si="3"/>
        <v>Metering — electricity and water</v>
      </c>
      <c r="X18" t="str">
        <f t="shared" si="4"/>
        <v/>
      </c>
      <c r="Y18" t="str">
        <f t="shared" si="5"/>
        <v/>
      </c>
      <c r="Z18" t="str">
        <f t="shared" si="6"/>
        <v/>
      </c>
    </row>
    <row r="19" spans="1:26" ht="34.15" customHeight="1">
      <c r="A19" s="71" t="str">
        <f>'Category Model'!A10</f>
        <v>Fridge / process temperature</v>
      </c>
      <c r="B19" s="53">
        <f>'Category Model'!K10</f>
        <v>5</v>
      </c>
      <c r="C19" s="53">
        <f>'Category Model'!L10</f>
        <v>5</v>
      </c>
      <c r="D19" s="53">
        <f>'PoE Model'!H10</f>
        <v>4</v>
      </c>
      <c r="E19" s="80" t="str">
        <f>'Category Model'!U10</f>
        <v/>
      </c>
      <c r="F19" s="80" t="str">
        <f>'Category Model'!Z10</f>
        <v/>
      </c>
      <c r="G19" s="80" t="str">
        <f>'PoE Model'!P10</f>
        <v/>
      </c>
      <c r="H19" s="50" t="str">
        <f>IF(COUNT('Category Model'!C10)=0,"Not modelled",IF(MAX(B19:D19)&lt;=2,"Technical constraint",IF(IF(B19&gt;=3,E19,1E+99)=MIN(IF(B19&gt;=3,E19,1E+99),IF(C19&gt;=3,F19,1E+99),IF(D19&gt;=3,G19,1E+99)),"LoRaWAN",IF(IF(C19&gt;=3,F19,1E+99)=MIN(IF(B19&gt;=3,E19,1E+99),IF(C19&gt;=3,F19,1E+99),IF(D19&gt;=3,G19,1E+99)),"NB-IoT","PoE"))))</f>
        <v>Not modelled</v>
      </c>
      <c r="I19" s="83" t="str">
        <f>IF(H19="PoE",'PoE Model'!J10,IF(H19="Not modelled","Enter device quantity in Category Model",'Category Model'!N10))</f>
        <v>Enter device quantity in Category Model</v>
      </c>
      <c r="J19" s="53" t="str">
        <f>IF(H19="PoE",'PoE Model'!K10,'Category Model'!O10)</f>
        <v>High</v>
      </c>
      <c r="T19" t="str">
        <f t="shared" si="0"/>
        <v>Fridge / process temperature</v>
      </c>
      <c r="U19">
        <f t="shared" si="1"/>
        <v>4</v>
      </c>
      <c r="V19" t="str">
        <f t="shared" si="2"/>
        <v/>
      </c>
      <c r="W19" t="str">
        <f t="shared" si="3"/>
        <v>Fridge / process temperature</v>
      </c>
      <c r="X19" t="str">
        <f t="shared" si="4"/>
        <v/>
      </c>
      <c r="Y19" t="str">
        <f t="shared" si="5"/>
        <v/>
      </c>
      <c r="Z19" t="str">
        <f t="shared" si="6"/>
        <v/>
      </c>
    </row>
    <row r="20" spans="1:26" ht="34.15" customHeight="1">
      <c r="A20" s="71" t="str">
        <f>'Category Model'!A11</f>
        <v>Waste water monitoring</v>
      </c>
      <c r="B20" s="53">
        <f>'Category Model'!K11</f>
        <v>4</v>
      </c>
      <c r="C20" s="53">
        <f>'Category Model'!L11</f>
        <v>5</v>
      </c>
      <c r="D20" s="53">
        <f>'PoE Model'!H11</f>
        <v>2</v>
      </c>
      <c r="E20" s="80" t="str">
        <f>'Category Model'!U11</f>
        <v/>
      </c>
      <c r="F20" s="80" t="str">
        <f>'Category Model'!Z11</f>
        <v/>
      </c>
      <c r="G20" s="80" t="str">
        <f>'PoE Model'!P11</f>
        <v/>
      </c>
      <c r="H20" s="50" t="str">
        <f>IF(COUNT('Category Model'!C11)=0,"Not modelled",IF(MAX(B20:D20)&lt;=2,"Technical constraint",IF(IF(B20&gt;=3,E20,1E+99)=MIN(IF(B20&gt;=3,E20,1E+99),IF(C20&gt;=3,F20,1E+99),IF(D20&gt;=3,G20,1E+99)),"LoRaWAN",IF(IF(C20&gt;=3,F20,1E+99)=MIN(IF(B20&gt;=3,E20,1E+99),IF(C20&gt;=3,F20,1E+99),IF(D20&gt;=3,G20,1E+99)),"NB-IoT","PoE"))))</f>
        <v>Not modelled</v>
      </c>
      <c r="I20" s="83" t="str">
        <f>IF(H20="PoE",'PoE Model'!J11,IF(H20="Not modelled","Enter device quantity in Category Model",'Category Model'!N11))</f>
        <v>Enter device quantity in Category Model</v>
      </c>
      <c r="J20" s="53" t="str">
        <f>IF(H20="PoE",'PoE Model'!K11,'Category Model'!O11)</f>
        <v>Medium</v>
      </c>
      <c r="T20" t="str">
        <f t="shared" si="0"/>
        <v>Waste water monitoring</v>
      </c>
      <c r="U20">
        <f t="shared" si="1"/>
        <v>2</v>
      </c>
      <c r="V20" t="str">
        <f t="shared" si="2"/>
        <v/>
      </c>
      <c r="W20" t="str">
        <f t="shared" si="3"/>
        <v>Waste water monitoring</v>
      </c>
      <c r="X20" t="str">
        <f t="shared" si="4"/>
        <v/>
      </c>
      <c r="Y20" t="str">
        <f t="shared" si="5"/>
        <v/>
      </c>
      <c r="Z20" t="str">
        <f t="shared" si="6"/>
        <v/>
      </c>
    </row>
    <row r="21" spans="1:26" ht="34.15" customHeight="1">
      <c r="A21" s="71" t="str">
        <f>'Category Model'!A12</f>
        <v>Water temperature</v>
      </c>
      <c r="B21" s="53">
        <f>'Category Model'!K12</f>
        <v>5</v>
      </c>
      <c r="C21" s="53">
        <f>'Category Model'!L12</f>
        <v>5</v>
      </c>
      <c r="D21" s="53">
        <f>'PoE Model'!H12</f>
        <v>3</v>
      </c>
      <c r="E21" s="80" t="str">
        <f>'Category Model'!U12</f>
        <v/>
      </c>
      <c r="F21" s="80" t="str">
        <f>'Category Model'!Z12</f>
        <v/>
      </c>
      <c r="G21" s="80" t="str">
        <f>'PoE Model'!P12</f>
        <v/>
      </c>
      <c r="H21" s="50" t="str">
        <f>IF(COUNT('Category Model'!C12)=0,"Not modelled",IF(MAX(B21:D21)&lt;=2,"Technical constraint",IF(IF(B21&gt;=3,E21,1E+99)=MIN(IF(B21&gt;=3,E21,1E+99),IF(C21&gt;=3,F21,1E+99),IF(D21&gt;=3,G21,1E+99)),"LoRaWAN",IF(IF(C21&gt;=3,F21,1E+99)=MIN(IF(B21&gt;=3,E21,1E+99),IF(C21&gt;=3,F21,1E+99),IF(D21&gt;=3,G21,1E+99)),"NB-IoT","PoE"))))</f>
        <v>Not modelled</v>
      </c>
      <c r="I21" s="83" t="str">
        <f>IF(H21="PoE",'PoE Model'!J12,IF(H21="Not modelled","Enter device quantity in Category Model",'Category Model'!N12))</f>
        <v>Enter device quantity in Category Model</v>
      </c>
      <c r="J21" s="53" t="str">
        <f>IF(H21="PoE",'PoE Model'!K12,'Category Model'!O12)</f>
        <v>High</v>
      </c>
      <c r="T21" t="str">
        <f t="shared" si="0"/>
        <v>Water temperature</v>
      </c>
      <c r="U21">
        <f t="shared" si="1"/>
        <v>3</v>
      </c>
      <c r="V21" t="str">
        <f t="shared" si="2"/>
        <v/>
      </c>
      <c r="W21" t="str">
        <f t="shared" si="3"/>
        <v>Water temperature</v>
      </c>
      <c r="X21" t="str">
        <f t="shared" si="4"/>
        <v/>
      </c>
      <c r="Y21" t="str">
        <f t="shared" si="5"/>
        <v/>
      </c>
      <c r="Z21" t="str">
        <f t="shared" si="6"/>
        <v/>
      </c>
    </row>
    <row r="22" spans="1:26" ht="34.15" customHeight="1">
      <c r="A22" s="71" t="str">
        <f>'Category Model'!A13</f>
        <v>Water flow</v>
      </c>
      <c r="B22" s="53">
        <f>'Category Model'!K13</f>
        <v>5</v>
      </c>
      <c r="C22" s="53">
        <f>'Category Model'!L13</f>
        <v>5</v>
      </c>
      <c r="D22" s="53">
        <f>'PoE Model'!H13</f>
        <v>3</v>
      </c>
      <c r="E22" s="80" t="str">
        <f>'Category Model'!U13</f>
        <v/>
      </c>
      <c r="F22" s="80" t="str">
        <f>'Category Model'!Z13</f>
        <v/>
      </c>
      <c r="G22" s="80" t="str">
        <f>'PoE Model'!P13</f>
        <v/>
      </c>
      <c r="H22" s="50" t="str">
        <f>IF(COUNT('Category Model'!C13)=0,"Not modelled",IF(MAX(B22:D22)&lt;=2,"Technical constraint",IF(IF(B22&gt;=3,E22,1E+99)=MIN(IF(B22&gt;=3,E22,1E+99),IF(C22&gt;=3,F22,1E+99),IF(D22&gt;=3,G22,1E+99)),"LoRaWAN",IF(IF(C22&gt;=3,F22,1E+99)=MIN(IF(B22&gt;=3,E22,1E+99),IF(C22&gt;=3,F22,1E+99),IF(D22&gt;=3,G22,1E+99)),"NB-IoT","PoE"))))</f>
        <v>Not modelled</v>
      </c>
      <c r="I22" s="83" t="str">
        <f>IF(H22="PoE",'PoE Model'!J13,IF(H22="Not modelled","Enter device quantity in Category Model",'Category Model'!N13))</f>
        <v>Enter device quantity in Category Model</v>
      </c>
      <c r="J22" s="53" t="str">
        <f>IF(H22="PoE",'PoE Model'!K13,'Category Model'!O13)</f>
        <v>High</v>
      </c>
      <c r="T22" t="str">
        <f t="shared" si="0"/>
        <v>Water flow</v>
      </c>
      <c r="U22">
        <f t="shared" si="1"/>
        <v>3</v>
      </c>
      <c r="V22" t="str">
        <f t="shared" si="2"/>
        <v/>
      </c>
      <c r="W22" t="str">
        <f t="shared" si="3"/>
        <v>Water flow</v>
      </c>
      <c r="X22" t="str">
        <f t="shared" si="4"/>
        <v/>
      </c>
      <c r="Y22" t="str">
        <f t="shared" si="5"/>
        <v/>
      </c>
      <c r="Z22" t="str">
        <f t="shared" si="6"/>
        <v/>
      </c>
    </row>
    <row r="23" spans="1:26" ht="34.15" customHeight="1">
      <c r="A23" s="71" t="str">
        <f>'Category Model'!A14</f>
        <v>Water leak detection</v>
      </c>
      <c r="B23" s="53">
        <f>'Category Model'!K14</f>
        <v>5</v>
      </c>
      <c r="C23" s="53">
        <f>'Category Model'!L14</f>
        <v>5</v>
      </c>
      <c r="D23" s="53">
        <f>'PoE Model'!H14</f>
        <v>4</v>
      </c>
      <c r="E23" s="80" t="str">
        <f>'Category Model'!U14</f>
        <v/>
      </c>
      <c r="F23" s="80" t="str">
        <f>'Category Model'!Z14</f>
        <v/>
      </c>
      <c r="G23" s="80" t="str">
        <f>'PoE Model'!P14</f>
        <v/>
      </c>
      <c r="H23" s="50" t="str">
        <f>IF(COUNT('Category Model'!C14)=0,"Not modelled",IF(MAX(B23:D23)&lt;=2,"Technical constraint",IF(IF(B23&gt;=3,E23,1E+99)=MIN(IF(B23&gt;=3,E23,1E+99),IF(C23&gt;=3,F23,1E+99),IF(D23&gt;=3,G23,1E+99)),"LoRaWAN",IF(IF(C23&gt;=3,F23,1E+99)=MIN(IF(B23&gt;=3,E23,1E+99),IF(C23&gt;=3,F23,1E+99),IF(D23&gt;=3,G23,1E+99)),"NB-IoT","PoE"))))</f>
        <v>Not modelled</v>
      </c>
      <c r="I23" s="83" t="str">
        <f>IF(H23="PoE",'PoE Model'!J14,IF(H23="Not modelled","Enter device quantity in Category Model",'Category Model'!N14))</f>
        <v>Enter device quantity in Category Model</v>
      </c>
      <c r="J23" s="53" t="str">
        <f>IF(H23="PoE",'PoE Model'!K14,'Category Model'!O14)</f>
        <v>High</v>
      </c>
      <c r="T23" t="str">
        <f t="shared" si="0"/>
        <v>Water leak detection</v>
      </c>
      <c r="U23">
        <f t="shared" si="1"/>
        <v>4</v>
      </c>
      <c r="V23" t="str">
        <f t="shared" si="2"/>
        <v/>
      </c>
      <c r="W23" t="str">
        <f t="shared" si="3"/>
        <v>Water leak detection</v>
      </c>
      <c r="X23" t="str">
        <f t="shared" si="4"/>
        <v/>
      </c>
      <c r="Y23" t="str">
        <f t="shared" si="5"/>
        <v/>
      </c>
      <c r="Z23" t="str">
        <f t="shared" si="6"/>
        <v/>
      </c>
    </row>
    <row r="24" spans="1:26" ht="34.15" customHeight="1">
      <c r="A24" s="71" t="str">
        <f>'Category Model'!A15</f>
        <v>Acoustic sensors</v>
      </c>
      <c r="B24" s="53">
        <f>'Category Model'!K15</f>
        <v>4</v>
      </c>
      <c r="C24" s="53">
        <f>'Category Model'!L15</f>
        <v>5</v>
      </c>
      <c r="D24" s="53">
        <f>'PoE Model'!H15</f>
        <v>4</v>
      </c>
      <c r="E24" s="80" t="str">
        <f>'Category Model'!U15</f>
        <v/>
      </c>
      <c r="F24" s="80" t="str">
        <f>'Category Model'!Z15</f>
        <v/>
      </c>
      <c r="G24" s="80" t="str">
        <f>'PoE Model'!P15</f>
        <v/>
      </c>
      <c r="H24" s="50" t="str">
        <f>IF(COUNT('Category Model'!C15)=0,"Not modelled",IF(MAX(B24:D24)&lt;=2,"Technical constraint",IF(IF(B24&gt;=3,E24,1E+99)=MIN(IF(B24&gt;=3,E24,1E+99),IF(C24&gt;=3,F24,1E+99),IF(D24&gt;=3,G24,1E+99)),"LoRaWAN",IF(IF(C24&gt;=3,F24,1E+99)=MIN(IF(B24&gt;=3,E24,1E+99),IF(C24&gt;=3,F24,1E+99),IF(D24&gt;=3,G24,1E+99)),"NB-IoT","PoE"))))</f>
        <v>Not modelled</v>
      </c>
      <c r="I24" s="83" t="str">
        <f>IF(H24="PoE",'PoE Model'!J15,IF(H24="Not modelled","Enter device quantity in Category Model",'Category Model'!N15))</f>
        <v>Enter device quantity in Category Model</v>
      </c>
      <c r="J24" s="53" t="str">
        <f>IF(H24="PoE",'PoE Model'!K15,'Category Model'!O15)</f>
        <v>Medium</v>
      </c>
      <c r="T24" t="str">
        <f t="shared" si="0"/>
        <v>Acoustic sensors</v>
      </c>
      <c r="U24">
        <f t="shared" si="1"/>
        <v>4</v>
      </c>
      <c r="V24" t="str">
        <f t="shared" si="2"/>
        <v/>
      </c>
      <c r="W24" t="str">
        <f t="shared" si="3"/>
        <v>Acoustic sensors</v>
      </c>
      <c r="X24" t="str">
        <f t="shared" si="4"/>
        <v/>
      </c>
      <c r="Y24" t="str">
        <f t="shared" si="5"/>
        <v/>
      </c>
      <c r="Z24" t="str">
        <f t="shared" si="6"/>
        <v/>
      </c>
    </row>
    <row r="25" spans="1:26" ht="34.15" customHeight="1">
      <c r="A25" s="71" t="str">
        <f>'Category Model'!A16</f>
        <v>Bin fill level — ultrasonic</v>
      </c>
      <c r="B25" s="53">
        <f>'Category Model'!K16</f>
        <v>5</v>
      </c>
      <c r="C25" s="53">
        <f>'Category Model'!L16</f>
        <v>5</v>
      </c>
      <c r="D25" s="53">
        <f>'PoE Model'!H16</f>
        <v>2</v>
      </c>
      <c r="E25" s="80" t="str">
        <f>'Category Model'!U16</f>
        <v/>
      </c>
      <c r="F25" s="80" t="str">
        <f>'Category Model'!Z16</f>
        <v/>
      </c>
      <c r="G25" s="80" t="str">
        <f>'PoE Model'!P16</f>
        <v/>
      </c>
      <c r="H25" s="50" t="str">
        <f>IF(COUNT('Category Model'!C16)=0,"Not modelled",IF(MAX(B25:D25)&lt;=2,"Technical constraint",IF(IF(B25&gt;=3,E25,1E+99)=MIN(IF(B25&gt;=3,E25,1E+99),IF(C25&gt;=3,F25,1E+99),IF(D25&gt;=3,G25,1E+99)),"LoRaWAN",IF(IF(C25&gt;=3,F25,1E+99)=MIN(IF(B25&gt;=3,E25,1E+99),IF(C25&gt;=3,F25,1E+99),IF(D25&gt;=3,G25,1E+99)),"NB-IoT","PoE"))))</f>
        <v>Not modelled</v>
      </c>
      <c r="I25" s="83" t="str">
        <f>IF(H25="PoE",'PoE Model'!J16,IF(H25="Not modelled","Enter device quantity in Category Model",'Category Model'!N16))</f>
        <v>Enter device quantity in Category Model</v>
      </c>
      <c r="J25" s="53" t="str">
        <f>IF(H25="PoE",'PoE Model'!K16,'Category Model'!O16)</f>
        <v>High</v>
      </c>
      <c r="T25" t="str">
        <f t="shared" si="0"/>
        <v>Bin fill level — ultrasonic</v>
      </c>
      <c r="U25">
        <f t="shared" si="1"/>
        <v>2</v>
      </c>
      <c r="V25" t="str">
        <f t="shared" si="2"/>
        <v/>
      </c>
      <c r="W25" t="str">
        <f t="shared" si="3"/>
        <v>Bin fill level — ultrasonic</v>
      </c>
      <c r="X25" t="str">
        <f t="shared" si="4"/>
        <v/>
      </c>
      <c r="Y25" t="str">
        <f t="shared" si="5"/>
        <v/>
      </c>
      <c r="Z25" t="str">
        <f t="shared" si="6"/>
        <v/>
      </c>
    </row>
    <row r="26" spans="1:26" ht="34.15" customHeight="1">
      <c r="A26" s="71" t="str">
        <f>'Category Model'!A17</f>
        <v>Optical bin sensors / computer vision</v>
      </c>
      <c r="B26" s="53">
        <f>'Category Model'!K17</f>
        <v>2</v>
      </c>
      <c r="C26" s="53">
        <f>'Category Model'!L17</f>
        <v>2</v>
      </c>
      <c r="D26" s="53">
        <f>'PoE Model'!H17</f>
        <v>5</v>
      </c>
      <c r="E26" s="80" t="str">
        <f>'Category Model'!U17</f>
        <v/>
      </c>
      <c r="F26" s="80" t="str">
        <f>'Category Model'!Z17</f>
        <v/>
      </c>
      <c r="G26" s="80" t="str">
        <f>'PoE Model'!P17</f>
        <v/>
      </c>
      <c r="H26" s="50" t="str">
        <f>IF(COUNT('Category Model'!C17)=0,"Not modelled",IF(MAX(B26:D26)&lt;=2,"Technical constraint",IF(IF(B26&gt;=3,E26,1E+99)=MIN(IF(B26&gt;=3,E26,1E+99),IF(C26&gt;=3,F26,1E+99),IF(D26&gt;=3,G26,1E+99)),"LoRaWAN",IF(IF(C26&gt;=3,F26,1E+99)=MIN(IF(B26&gt;=3,E26,1E+99),IF(C26&gt;=3,F26,1E+99),IF(D26&gt;=3,G26,1E+99)),"NB-IoT","PoE"))))</f>
        <v>Not modelled</v>
      </c>
      <c r="I26" s="83" t="str">
        <f>IF(H26="PoE",'PoE Model'!J17,IF(H26="Not modelled","Enter device quantity in Category Model",'Category Model'!N17))</f>
        <v>Enter device quantity in Category Model</v>
      </c>
      <c r="J26" s="53" t="str">
        <f>IF(H26="PoE",'PoE Model'!K17,'Category Model'!O17)</f>
        <v>Low</v>
      </c>
      <c r="T26" t="str">
        <f t="shared" si="0"/>
        <v>Optical bin sensors / computer vision</v>
      </c>
      <c r="U26">
        <f t="shared" si="1"/>
        <v>5</v>
      </c>
      <c r="V26" t="str">
        <f t="shared" si="2"/>
        <v/>
      </c>
      <c r="W26" t="str">
        <f t="shared" si="3"/>
        <v>Optical bin sensors / computer vision</v>
      </c>
      <c r="X26" t="str">
        <f t="shared" si="4"/>
        <v/>
      </c>
      <c r="Y26" t="str">
        <f t="shared" si="5"/>
        <v/>
      </c>
      <c r="Z26" t="str">
        <f t="shared" si="6"/>
        <v/>
      </c>
    </row>
    <row r="27" spans="1:26" ht="34.15" customHeight="1">
      <c r="A27" s="71" t="str">
        <f>'Category Model'!A18</f>
        <v>Vibration sensors</v>
      </c>
      <c r="B27" s="53">
        <f>'Category Model'!K18</f>
        <v>4</v>
      </c>
      <c r="C27" s="53">
        <f>'Category Model'!L18</f>
        <v>4</v>
      </c>
      <c r="D27" s="53">
        <f>'PoE Model'!H18</f>
        <v>5</v>
      </c>
      <c r="E27" s="80" t="str">
        <f>'Category Model'!U18</f>
        <v/>
      </c>
      <c r="F27" s="80" t="str">
        <f>'Category Model'!Z18</f>
        <v/>
      </c>
      <c r="G27" s="80" t="str">
        <f>'PoE Model'!P18</f>
        <v/>
      </c>
      <c r="H27" s="50" t="str">
        <f>IF(COUNT('Category Model'!C18)=0,"Not modelled",IF(MAX(B27:D27)&lt;=2,"Technical constraint",IF(IF(B27&gt;=3,E27,1E+99)=MIN(IF(B27&gt;=3,E27,1E+99),IF(C27&gt;=3,F27,1E+99),IF(D27&gt;=3,G27,1E+99)),"LoRaWAN",IF(IF(C27&gt;=3,F27,1E+99)=MIN(IF(B27&gt;=3,E27,1E+99),IF(C27&gt;=3,F27,1E+99),IF(D27&gt;=3,G27,1E+99)),"NB-IoT","PoE"))))</f>
        <v>Not modelled</v>
      </c>
      <c r="I27" s="83" t="str">
        <f>IF(H27="PoE",'PoE Model'!J18,IF(H27="Not modelled","Enter device quantity in Category Model",'Category Model'!N18))</f>
        <v>Enter device quantity in Category Model</v>
      </c>
      <c r="J27" s="53" t="str">
        <f>IF(H27="PoE",'PoE Model'!K18,'Category Model'!O18)</f>
        <v>Medium</v>
      </c>
      <c r="T27" t="str">
        <f t="shared" si="0"/>
        <v>Vibration sensors</v>
      </c>
      <c r="U27">
        <f t="shared" si="1"/>
        <v>5</v>
      </c>
      <c r="V27" t="str">
        <f t="shared" si="2"/>
        <v/>
      </c>
      <c r="W27" t="str">
        <f t="shared" si="3"/>
        <v>Vibration sensors</v>
      </c>
      <c r="X27" t="str">
        <f t="shared" si="4"/>
        <v/>
      </c>
      <c r="Y27" t="str">
        <f t="shared" si="5"/>
        <v/>
      </c>
      <c r="Z27" t="str">
        <f t="shared" si="6"/>
        <v/>
      </c>
    </row>
    <row r="28" spans="1:26" ht="34.15" customHeight="1">
      <c r="A28" s="71" t="str">
        <f>'Category Model'!A19</f>
        <v>Pressure sensors — medical gases</v>
      </c>
      <c r="B28" s="53">
        <f>'Category Model'!K19</f>
        <v>4</v>
      </c>
      <c r="C28" s="53">
        <f>'Category Model'!L19</f>
        <v>4</v>
      </c>
      <c r="D28" s="53">
        <f>'PoE Model'!H19</f>
        <v>5</v>
      </c>
      <c r="E28" s="80" t="str">
        <f>'Category Model'!U19</f>
        <v/>
      </c>
      <c r="F28" s="80" t="str">
        <f>'Category Model'!Z19</f>
        <v/>
      </c>
      <c r="G28" s="80" t="str">
        <f>'PoE Model'!P19</f>
        <v/>
      </c>
      <c r="H28" s="50" t="str">
        <f>IF(COUNT('Category Model'!C19)=0,"Not modelled",IF(MAX(B28:D28)&lt;=2,"Technical constraint",IF(IF(B28&gt;=3,E28,1E+99)=MIN(IF(B28&gt;=3,E28,1E+99),IF(C28&gt;=3,F28,1E+99),IF(D28&gt;=3,G28,1E+99)),"LoRaWAN",IF(IF(C28&gt;=3,F28,1E+99)=MIN(IF(B28&gt;=3,E28,1E+99),IF(C28&gt;=3,F28,1E+99),IF(D28&gt;=3,G28,1E+99)),"NB-IoT","PoE"))))</f>
        <v>Not modelled</v>
      </c>
      <c r="I28" s="83" t="str">
        <f>IF(H28="PoE",'PoE Model'!J19,IF(H28="Not modelled","Enter device quantity in Category Model",'Category Model'!N19))</f>
        <v>Enter device quantity in Category Model</v>
      </c>
      <c r="J28" s="53" t="str">
        <f>IF(H28="PoE",'PoE Model'!K19,'Category Model'!O19)</f>
        <v>Low</v>
      </c>
      <c r="T28" t="str">
        <f t="shared" si="0"/>
        <v>Pressure sensors — medical gases</v>
      </c>
      <c r="U28">
        <f t="shared" si="1"/>
        <v>5</v>
      </c>
      <c r="V28" t="str">
        <f t="shared" si="2"/>
        <v/>
      </c>
      <c r="W28" t="str">
        <f t="shared" si="3"/>
        <v>Pressure sensors — medical gases</v>
      </c>
      <c r="X28" t="str">
        <f t="shared" si="4"/>
        <v/>
      </c>
      <c r="Y28" t="str">
        <f t="shared" si="5"/>
        <v/>
      </c>
      <c r="Z28" t="str">
        <f t="shared" si="6"/>
        <v/>
      </c>
    </row>
    <row r="29" spans="1:26" ht="34.15" customHeight="1">
      <c r="A29" s="72" t="str">
        <f>'Category Model'!A20</f>
        <v>Ultrasonic non-invasive — medical gases</v>
      </c>
      <c r="B29" s="54">
        <f>'Category Model'!K20</f>
        <v>4</v>
      </c>
      <c r="C29" s="54">
        <f>'Category Model'!L20</f>
        <v>4</v>
      </c>
      <c r="D29" s="54">
        <f>'PoE Model'!H20</f>
        <v>5</v>
      </c>
      <c r="E29" s="81" t="str">
        <f>'Category Model'!U20</f>
        <v/>
      </c>
      <c r="F29" s="81" t="str">
        <f>'Category Model'!Z20</f>
        <v/>
      </c>
      <c r="G29" s="81" t="str">
        <f>'PoE Model'!P20</f>
        <v/>
      </c>
      <c r="H29" s="51" t="str">
        <f>IF(COUNT('Category Model'!C20)=0,"Not modelled",IF(MAX(B29:D29)&lt;=2,"Technical constraint",IF(IF(B29&gt;=3,E29,1E+99)=MIN(IF(B29&gt;=3,E29,1E+99),IF(C29&gt;=3,F29,1E+99),IF(D29&gt;=3,G29,1E+99)),"LoRaWAN",IF(IF(C29&gt;=3,F29,1E+99)=MIN(IF(B29&gt;=3,E29,1E+99),IF(C29&gt;=3,F29,1E+99),IF(D29&gt;=3,G29,1E+99)),"NB-IoT","PoE"))))</f>
        <v>Not modelled</v>
      </c>
      <c r="I29" s="84" t="str">
        <f>IF(H29="PoE",'PoE Model'!J20,IF(H29="Not modelled","Enter device quantity in Category Model",'Category Model'!N20))</f>
        <v>Enter device quantity in Category Model</v>
      </c>
      <c r="J29" s="54" t="str">
        <f>IF(H29="PoE",'PoE Model'!K20,'Category Model'!O20)</f>
        <v>Low</v>
      </c>
      <c r="W29" t="str">
        <f t="shared" si="3"/>
        <v>Ultrasonic non-invasive — medical gases</v>
      </c>
      <c r="X29" t="str">
        <f t="shared" si="4"/>
        <v/>
      </c>
      <c r="Y29" t="str">
        <f t="shared" si="5"/>
        <v/>
      </c>
      <c r="Z29" t="str">
        <f t="shared" si="6"/>
        <v/>
      </c>
    </row>
  </sheetData>
  <mergeCells count="5">
    <mergeCell ref="A1:J1"/>
    <mergeCell ref="A2:J2"/>
    <mergeCell ref="A4:B4"/>
    <mergeCell ref="D4:J4"/>
    <mergeCell ref="D5:J10"/>
  </mergeCells>
  <conditionalFormatting sqref="H13 J14 H15:H29">
    <cfRule type="containsText" dxfId="4" priority="1" operator="containsText" text="PoE"/>
    <cfRule type="containsText" dxfId="3" priority="2" operator="containsText" text="LoRaWAN"/>
    <cfRule type="containsText" dxfId="2" priority="3" operator="containsText" text="NB-IoT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showGridLines="0" topLeftCell="A10" workbookViewId="0">
      <selection activeCell="B14" sqref="B14"/>
    </sheetView>
  </sheetViews>
  <sheetFormatPr defaultRowHeight="14.25"/>
  <cols>
    <col min="1" max="1" width="30.5" customWidth="1"/>
    <col min="2" max="2" width="15" customWidth="1"/>
    <col min="3" max="3" width="18" customWidth="1"/>
    <col min="4" max="4" width="32.25" customWidth="1"/>
    <col min="5" max="5" width="66.125" customWidth="1"/>
    <col min="6" max="6" width="64.625" customWidth="1"/>
  </cols>
  <sheetData>
    <row r="1" spans="1:6" ht="25.9" customHeight="1">
      <c r="A1" s="129" t="s">
        <v>20</v>
      </c>
      <c r="B1" s="130" t="s">
        <v>21</v>
      </c>
      <c r="C1" s="130" t="s">
        <v>21</v>
      </c>
      <c r="D1" s="130" t="s">
        <v>21</v>
      </c>
      <c r="E1" s="130" t="s">
        <v>21</v>
      </c>
      <c r="F1" s="131" t="s">
        <v>21</v>
      </c>
    </row>
    <row r="2" spans="1:6" ht="25.9" customHeight="1">
      <c r="A2" s="132" t="s">
        <v>22</v>
      </c>
      <c r="B2" s="117" t="s">
        <v>23</v>
      </c>
      <c r="C2" s="117" t="s">
        <v>23</v>
      </c>
      <c r="D2" s="117" t="s">
        <v>23</v>
      </c>
      <c r="E2" s="117" t="s">
        <v>23</v>
      </c>
      <c r="F2" s="133" t="s">
        <v>23</v>
      </c>
    </row>
    <row r="3" spans="1:6">
      <c r="A3" s="9"/>
      <c r="F3" s="10"/>
    </row>
    <row r="4" spans="1:6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3" t="s">
        <v>29</v>
      </c>
    </row>
    <row r="5" spans="1:6" ht="15" customHeight="1">
      <c r="A5" s="11" t="s">
        <v>30</v>
      </c>
      <c r="B5" s="5">
        <v>5</v>
      </c>
      <c r="C5" s="4" t="s">
        <v>31</v>
      </c>
      <c r="D5" s="4" t="s">
        <v>32</v>
      </c>
      <c r="E5" s="4"/>
      <c r="F5" s="12" t="s">
        <v>33</v>
      </c>
    </row>
    <row r="6" spans="1:6" ht="15" customHeight="1">
      <c r="A6" s="11" t="s">
        <v>34</v>
      </c>
      <c r="B6" s="5">
        <v>1</v>
      </c>
      <c r="C6" s="4" t="s">
        <v>35</v>
      </c>
      <c r="D6" s="4" t="s">
        <v>32</v>
      </c>
      <c r="E6" s="4"/>
      <c r="F6" s="12" t="s">
        <v>36</v>
      </c>
    </row>
    <row r="7" spans="1:6" ht="15" customHeight="1">
      <c r="A7" s="11" t="s">
        <v>37</v>
      </c>
      <c r="B7" s="6">
        <v>415.8</v>
      </c>
      <c r="C7" s="4" t="s">
        <v>38</v>
      </c>
      <c r="D7" s="4" t="s">
        <v>39</v>
      </c>
      <c r="E7" s="4" t="s">
        <v>40</v>
      </c>
      <c r="F7" s="12" t="s">
        <v>41</v>
      </c>
    </row>
    <row r="8" spans="1:6" ht="15" customHeight="1">
      <c r="A8" s="11" t="s">
        <v>42</v>
      </c>
      <c r="B8" s="6">
        <v>300</v>
      </c>
      <c r="C8" s="4" t="s">
        <v>38</v>
      </c>
      <c r="D8" s="4" t="s">
        <v>43</v>
      </c>
      <c r="E8" s="4"/>
      <c r="F8" s="12" t="s">
        <v>44</v>
      </c>
    </row>
    <row r="9" spans="1:6" ht="15" customHeight="1">
      <c r="A9" s="11" t="s">
        <v>45</v>
      </c>
      <c r="B9" s="6">
        <v>60</v>
      </c>
      <c r="C9" s="4" t="s">
        <v>46</v>
      </c>
      <c r="D9" s="4" t="s">
        <v>43</v>
      </c>
      <c r="E9" s="4"/>
      <c r="F9" s="12" t="s">
        <v>47</v>
      </c>
    </row>
    <row r="10" spans="1:6" ht="15" customHeight="1">
      <c r="A10" s="11" t="s">
        <v>48</v>
      </c>
      <c r="B10" s="6">
        <v>22</v>
      </c>
      <c r="C10" s="4" t="s">
        <v>46</v>
      </c>
      <c r="D10" s="4" t="s">
        <v>49</v>
      </c>
      <c r="E10" s="4"/>
      <c r="F10" s="12" t="s">
        <v>50</v>
      </c>
    </row>
    <row r="11" spans="1:6" ht="26.45" customHeight="1">
      <c r="A11" s="11" t="s">
        <v>51</v>
      </c>
      <c r="B11" s="6">
        <v>0</v>
      </c>
      <c r="C11" s="4" t="s">
        <v>52</v>
      </c>
      <c r="D11" s="4" t="s">
        <v>53</v>
      </c>
      <c r="E11" s="4" t="s">
        <v>54</v>
      </c>
      <c r="F11" s="12" t="s">
        <v>55</v>
      </c>
    </row>
    <row r="12" spans="1:6" ht="26.45" customHeight="1">
      <c r="A12" s="11" t="s">
        <v>56</v>
      </c>
      <c r="B12" s="6">
        <v>0</v>
      </c>
      <c r="C12" s="4" t="s">
        <v>57</v>
      </c>
      <c r="D12" s="4" t="s">
        <v>58</v>
      </c>
      <c r="E12" s="4"/>
      <c r="F12" s="12" t="s">
        <v>59</v>
      </c>
    </row>
    <row r="13" spans="1:6" ht="15" customHeight="1">
      <c r="A13" s="11" t="s">
        <v>60</v>
      </c>
      <c r="B13" s="6">
        <v>15</v>
      </c>
      <c r="C13" s="4" t="s">
        <v>61</v>
      </c>
      <c r="D13" s="4" t="s">
        <v>43</v>
      </c>
      <c r="E13" s="4"/>
      <c r="F13" s="12" t="s">
        <v>62</v>
      </c>
    </row>
    <row r="14" spans="1:6" ht="15">
      <c r="A14" s="11" t="s">
        <v>63</v>
      </c>
      <c r="B14" s="35">
        <v>0.98</v>
      </c>
      <c r="C14" s="4" t="s">
        <v>52</v>
      </c>
      <c r="D14" s="4" t="s">
        <v>64</v>
      </c>
      <c r="E14" s="4"/>
      <c r="F14" s="12" t="s">
        <v>65</v>
      </c>
    </row>
    <row r="15" spans="1:6" ht="30">
      <c r="A15" s="11" t="s">
        <v>66</v>
      </c>
      <c r="B15" s="35">
        <v>0.7</v>
      </c>
      <c r="C15" s="4" t="s">
        <v>61</v>
      </c>
      <c r="D15" s="4" t="s">
        <v>64</v>
      </c>
      <c r="E15" s="4"/>
      <c r="F15" s="12" t="s">
        <v>67</v>
      </c>
    </row>
    <row r="16" spans="1:6" ht="15">
      <c r="A16" s="11" t="s">
        <v>68</v>
      </c>
      <c r="B16" s="5">
        <v>17</v>
      </c>
      <c r="C16" s="4" t="s">
        <v>69</v>
      </c>
      <c r="D16" s="4" t="s">
        <v>64</v>
      </c>
      <c r="E16" s="4"/>
      <c r="F16" s="12" t="s">
        <v>70</v>
      </c>
    </row>
    <row r="17" spans="1:6" ht="15">
      <c r="A17" s="11" t="s">
        <v>71</v>
      </c>
      <c r="B17" s="35">
        <v>0.01</v>
      </c>
      <c r="C17" s="4" t="s">
        <v>72</v>
      </c>
      <c r="D17" s="4" t="s">
        <v>64</v>
      </c>
      <c r="E17" s="4"/>
      <c r="F17" s="12" t="s">
        <v>73</v>
      </c>
    </row>
    <row r="18" spans="1:6" ht="26.45" customHeight="1">
      <c r="A18" s="11" t="s">
        <v>74</v>
      </c>
      <c r="B18" s="6">
        <v>12</v>
      </c>
      <c r="C18" s="4" t="s">
        <v>61</v>
      </c>
      <c r="D18" s="4" t="s">
        <v>43</v>
      </c>
      <c r="E18" s="4"/>
      <c r="F18" s="12" t="s">
        <v>75</v>
      </c>
    </row>
    <row r="19" spans="1:6" ht="26.45" customHeight="1">
      <c r="A19" s="11" t="s">
        <v>76</v>
      </c>
      <c r="B19" s="7">
        <v>2</v>
      </c>
      <c r="C19" s="4" t="s">
        <v>77</v>
      </c>
      <c r="D19" s="4" t="s">
        <v>43</v>
      </c>
      <c r="E19" s="4"/>
      <c r="F19" s="12" t="s">
        <v>78</v>
      </c>
    </row>
    <row r="20" spans="1:6" ht="39.6" customHeight="1">
      <c r="A20" s="11" t="s">
        <v>79</v>
      </c>
      <c r="B20" s="6">
        <v>35</v>
      </c>
      <c r="C20" s="4" t="s">
        <v>80</v>
      </c>
      <c r="D20" s="4" t="s">
        <v>43</v>
      </c>
      <c r="E20" s="4"/>
      <c r="F20" s="12" t="s">
        <v>81</v>
      </c>
    </row>
    <row r="21" spans="1:6" ht="15" customHeight="1">
      <c r="A21" s="11" t="s">
        <v>82</v>
      </c>
      <c r="B21" s="8">
        <v>0.85387999999999997</v>
      </c>
      <c r="C21" s="4" t="s">
        <v>83</v>
      </c>
      <c r="D21" s="4" t="s">
        <v>84</v>
      </c>
      <c r="E21" s="4" t="s">
        <v>85</v>
      </c>
      <c r="F21" s="12" t="s">
        <v>86</v>
      </c>
    </row>
    <row r="22" spans="1:6" ht="34.15" customHeight="1">
      <c r="A22" s="11" t="s">
        <v>87</v>
      </c>
      <c r="B22" s="114">
        <v>0</v>
      </c>
      <c r="C22" s="4" t="s">
        <v>88</v>
      </c>
      <c r="D22" s="4" t="s">
        <v>43</v>
      </c>
      <c r="E22" s="4"/>
      <c r="F22" s="4" t="s">
        <v>89</v>
      </c>
    </row>
    <row r="23" spans="1:6" ht="34.15" customHeight="1">
      <c r="A23" s="11" t="s">
        <v>90</v>
      </c>
      <c r="B23" s="114">
        <v>0</v>
      </c>
      <c r="C23" s="4" t="s">
        <v>88</v>
      </c>
      <c r="D23" s="4" t="s">
        <v>43</v>
      </c>
      <c r="E23" s="4"/>
      <c r="F23" s="4" t="s">
        <v>91</v>
      </c>
    </row>
    <row r="24" spans="1:6" ht="34.15" customHeight="1">
      <c r="A24" s="11" t="s">
        <v>92</v>
      </c>
      <c r="B24" s="114">
        <v>0</v>
      </c>
      <c r="C24" s="4" t="s">
        <v>93</v>
      </c>
      <c r="D24" s="4" t="s">
        <v>43</v>
      </c>
      <c r="E24" s="4"/>
      <c r="F24" s="4" t="s">
        <v>94</v>
      </c>
    </row>
    <row r="25" spans="1:6" ht="34.15" customHeight="1">
      <c r="A25" s="11" t="s">
        <v>95</v>
      </c>
      <c r="B25" s="114">
        <v>20</v>
      </c>
      <c r="C25" s="4" t="s">
        <v>61</v>
      </c>
      <c r="D25" s="4" t="s">
        <v>43</v>
      </c>
      <c r="E25" s="4"/>
      <c r="F25" s="4" t="s">
        <v>96</v>
      </c>
    </row>
    <row r="26" spans="1:6" ht="34.15" customHeight="1">
      <c r="A26" s="11" t="s">
        <v>97</v>
      </c>
      <c r="B26" s="114">
        <v>0.28000000000000003</v>
      </c>
      <c r="C26" s="4" t="s">
        <v>98</v>
      </c>
      <c r="D26" s="4" t="s">
        <v>43</v>
      </c>
      <c r="E26" s="4"/>
      <c r="F26" s="4" t="s">
        <v>99</v>
      </c>
    </row>
    <row r="27" spans="1:6" ht="34.15" customHeight="1">
      <c r="A27" s="11" t="s">
        <v>100</v>
      </c>
      <c r="B27" s="115">
        <v>0.9</v>
      </c>
      <c r="C27" s="4" t="s">
        <v>101</v>
      </c>
      <c r="D27" s="4" t="s">
        <v>43</v>
      </c>
      <c r="E27" s="4" t="s">
        <v>102</v>
      </c>
      <c r="F27" s="4" t="s">
        <v>103</v>
      </c>
    </row>
    <row r="28" spans="1:6" ht="34.15" customHeight="1">
      <c r="A28" s="11" t="s">
        <v>104</v>
      </c>
      <c r="B28" s="115">
        <v>0.01</v>
      </c>
      <c r="C28" s="4" t="s">
        <v>77</v>
      </c>
      <c r="D28" s="4" t="s">
        <v>43</v>
      </c>
      <c r="E28" s="4"/>
      <c r="F28" s="4" t="s">
        <v>105</v>
      </c>
    </row>
  </sheetData>
  <mergeCells count="2">
    <mergeCell ref="A1:F1"/>
    <mergeCell ref="A2:F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1"/>
  <sheetViews>
    <sheetView showGridLines="0" topLeftCell="A2" workbookViewId="0">
      <selection activeCell="C21" sqref="C21"/>
    </sheetView>
  </sheetViews>
  <sheetFormatPr defaultRowHeight="14.25"/>
  <cols>
    <col min="1" max="1" width="30" customWidth="1"/>
    <col min="2" max="2" width="22" customWidth="1"/>
    <col min="3" max="4" width="10" customWidth="1"/>
    <col min="5" max="12" width="14" customWidth="1"/>
    <col min="13" max="14" width="40" customWidth="1"/>
    <col min="15" max="15" width="13" customWidth="1"/>
    <col min="16" max="30" width="15" customWidth="1"/>
    <col min="31" max="31" width="33" customWidth="1"/>
  </cols>
  <sheetData>
    <row r="1" spans="1:31" ht="25.9" customHeight="1">
      <c r="A1" s="116" t="s">
        <v>106</v>
      </c>
      <c r="B1" s="116" t="s">
        <v>106</v>
      </c>
      <c r="C1" s="116" t="s">
        <v>106</v>
      </c>
      <c r="D1" s="116" t="s">
        <v>106</v>
      </c>
      <c r="E1" s="116" t="s">
        <v>106</v>
      </c>
      <c r="F1" s="116" t="s">
        <v>106</v>
      </c>
      <c r="G1" s="116" t="s">
        <v>106</v>
      </c>
      <c r="H1" s="116" t="s">
        <v>106</v>
      </c>
      <c r="I1" s="116" t="s">
        <v>106</v>
      </c>
      <c r="J1" s="116" t="s">
        <v>106</v>
      </c>
      <c r="K1" s="116" t="s">
        <v>106</v>
      </c>
      <c r="L1" s="116" t="s">
        <v>106</v>
      </c>
      <c r="M1" s="116" t="s">
        <v>106</v>
      </c>
      <c r="N1" s="116" t="s">
        <v>106</v>
      </c>
      <c r="O1" s="116" t="s">
        <v>106</v>
      </c>
      <c r="P1" s="116" t="s">
        <v>106</v>
      </c>
      <c r="Q1" s="116" t="s">
        <v>106</v>
      </c>
      <c r="R1" s="116" t="s">
        <v>106</v>
      </c>
      <c r="S1" s="116" t="s">
        <v>106</v>
      </c>
      <c r="T1" s="116" t="s">
        <v>106</v>
      </c>
      <c r="U1" s="116" t="s">
        <v>106</v>
      </c>
      <c r="V1" s="116" t="s">
        <v>106</v>
      </c>
      <c r="W1" s="116" t="s">
        <v>106</v>
      </c>
      <c r="X1" s="116" t="s">
        <v>106</v>
      </c>
      <c r="Y1" s="116" t="s">
        <v>106</v>
      </c>
      <c r="Z1" s="116" t="s">
        <v>106</v>
      </c>
      <c r="AA1" s="116" t="s">
        <v>106</v>
      </c>
      <c r="AB1" s="116" t="s">
        <v>106</v>
      </c>
      <c r="AC1" s="116" t="s">
        <v>106</v>
      </c>
      <c r="AD1" s="116" t="s">
        <v>106</v>
      </c>
      <c r="AE1" s="116" t="s">
        <v>106</v>
      </c>
    </row>
    <row r="2" spans="1:31" ht="25.9" customHeight="1">
      <c r="A2" s="117" t="s">
        <v>107</v>
      </c>
      <c r="B2" s="117" t="s">
        <v>107</v>
      </c>
      <c r="C2" s="117" t="s">
        <v>107</v>
      </c>
      <c r="D2" s="117" t="s">
        <v>107</v>
      </c>
      <c r="E2" s="117" t="s">
        <v>107</v>
      </c>
      <c r="F2" s="117" t="s">
        <v>107</v>
      </c>
      <c r="G2" s="117" t="s">
        <v>107</v>
      </c>
      <c r="H2" s="117" t="s">
        <v>107</v>
      </c>
      <c r="I2" s="117" t="s">
        <v>107</v>
      </c>
      <c r="J2" s="117" t="s">
        <v>107</v>
      </c>
      <c r="K2" s="117" t="s">
        <v>107</v>
      </c>
      <c r="L2" s="117" t="s">
        <v>107</v>
      </c>
      <c r="M2" s="117" t="s">
        <v>107</v>
      </c>
      <c r="N2" s="117" t="s">
        <v>107</v>
      </c>
      <c r="O2" s="117" t="s">
        <v>107</v>
      </c>
      <c r="P2" s="117" t="s">
        <v>107</v>
      </c>
      <c r="Q2" s="117" t="s">
        <v>107</v>
      </c>
      <c r="R2" s="117" t="s">
        <v>107</v>
      </c>
      <c r="S2" s="117" t="s">
        <v>107</v>
      </c>
      <c r="T2" s="117" t="s">
        <v>107</v>
      </c>
      <c r="U2" s="117" t="s">
        <v>107</v>
      </c>
      <c r="V2" s="117" t="s">
        <v>107</v>
      </c>
      <c r="W2" s="117" t="s">
        <v>107</v>
      </c>
      <c r="X2" s="117" t="s">
        <v>107</v>
      </c>
      <c r="Y2" s="117" t="s">
        <v>107</v>
      </c>
      <c r="Z2" s="117" t="s">
        <v>107</v>
      </c>
      <c r="AA2" s="117" t="s">
        <v>107</v>
      </c>
      <c r="AB2" s="117" t="s">
        <v>107</v>
      </c>
      <c r="AC2" s="117" t="s">
        <v>107</v>
      </c>
      <c r="AD2" s="117" t="s">
        <v>107</v>
      </c>
      <c r="AE2" s="117" t="s">
        <v>107</v>
      </c>
    </row>
    <row r="4" spans="1:31" ht="54" customHeight="1">
      <c r="A4" s="1" t="s">
        <v>10</v>
      </c>
      <c r="B4" s="2" t="s">
        <v>108</v>
      </c>
      <c r="C4" s="2" t="s">
        <v>109</v>
      </c>
      <c r="D4" s="2" t="s">
        <v>110</v>
      </c>
      <c r="E4" s="2" t="s">
        <v>111</v>
      </c>
      <c r="F4" s="2" t="s">
        <v>112</v>
      </c>
      <c r="G4" s="2" t="s">
        <v>113</v>
      </c>
      <c r="H4" s="2" t="s">
        <v>114</v>
      </c>
      <c r="I4" s="2" t="s">
        <v>115</v>
      </c>
      <c r="J4" s="2" t="s">
        <v>116</v>
      </c>
      <c r="K4" s="2" t="s">
        <v>117</v>
      </c>
      <c r="L4" s="2" t="s">
        <v>118</v>
      </c>
      <c r="M4" s="2" t="s">
        <v>119</v>
      </c>
      <c r="N4" s="2" t="s">
        <v>18</v>
      </c>
      <c r="O4" s="2" t="s">
        <v>120</v>
      </c>
      <c r="P4" s="2" t="s">
        <v>121</v>
      </c>
      <c r="Q4" s="2" t="s">
        <v>122</v>
      </c>
      <c r="R4" s="2" t="s">
        <v>123</v>
      </c>
      <c r="S4" s="2" t="s">
        <v>124</v>
      </c>
      <c r="T4" s="2" t="s">
        <v>125</v>
      </c>
      <c r="U4" s="2" t="s">
        <v>14</v>
      </c>
      <c r="V4" s="2" t="s">
        <v>126</v>
      </c>
      <c r="W4" s="2" t="s">
        <v>127</v>
      </c>
      <c r="X4" s="2" t="s">
        <v>128</v>
      </c>
      <c r="Y4" s="2" t="s">
        <v>129</v>
      </c>
      <c r="Z4" s="2" t="s">
        <v>15</v>
      </c>
      <c r="AA4" s="2" t="s">
        <v>130</v>
      </c>
      <c r="AB4" s="2" t="s">
        <v>131</v>
      </c>
      <c r="AC4" s="2" t="s">
        <v>132</v>
      </c>
      <c r="AD4" s="2" t="s">
        <v>133</v>
      </c>
      <c r="AE4" s="3" t="s">
        <v>134</v>
      </c>
    </row>
    <row r="5" spans="1:31" ht="26.45" customHeight="1">
      <c r="A5" s="24" t="s">
        <v>135</v>
      </c>
      <c r="B5" s="13" t="s">
        <v>136</v>
      </c>
      <c r="C5" s="14">
        <v>1069</v>
      </c>
      <c r="D5" s="14">
        <v>1</v>
      </c>
      <c r="E5" s="15">
        <v>180</v>
      </c>
      <c r="F5" s="15">
        <v>195</v>
      </c>
      <c r="G5" s="15">
        <v>35</v>
      </c>
      <c r="H5" s="16">
        <v>14.88</v>
      </c>
      <c r="I5" s="16">
        <v>5</v>
      </c>
      <c r="J5" s="16">
        <v>3</v>
      </c>
      <c r="K5" s="14">
        <v>5</v>
      </c>
      <c r="L5" s="14">
        <v>4</v>
      </c>
      <c r="M5" s="13" t="s">
        <v>137</v>
      </c>
      <c r="N5" s="27" t="s">
        <v>138</v>
      </c>
      <c r="O5" s="13" t="s">
        <v>139</v>
      </c>
      <c r="P5" s="17">
        <f>C5*(E5+G5+Assumptions!$B$13)</f>
        <v>245870</v>
      </c>
      <c r="Q5" s="17">
        <f>D5*Assumptions!$B$6*(Assumptions!$B$7+Assumptions!$B$8)+Assumptions!$B$5*(D5*Assumptions!$B$6*(Assumptions!$B$9+Assumptions!$B$10)+Assumptions!$B$12)</f>
        <v>1125.8</v>
      </c>
      <c r="R5" s="17">
        <f>C5*E5*Assumptions!$B$19/100*Assumptions!$B$5+C5*IF(I5&lt;=Assumptions!$B$5,Assumptions!$B$20,0)</f>
        <v>56657</v>
      </c>
      <c r="S5" s="17">
        <f>C5*Assumptions!$B$11*12*Assumptions!$B$5</f>
        <v>0</v>
      </c>
      <c r="T5" s="44">
        <f t="shared" ref="T5:T21" si="0">IF(COUNT(C5)=0,"",SUM(P5:S5))</f>
        <v>303652.8</v>
      </c>
      <c r="U5" s="44">
        <f t="shared" ref="U5:U21" si="1">IF(COUNT(C5)=0,"",ROUND(T5/C5,2))</f>
        <v>284.05</v>
      </c>
      <c r="V5" s="44">
        <f>IF(COUNT(C5)=0,"",C5*(F5+G5+Assumptions!$B$18+Assumptions!$B$15+Assumptions!$B$14*12*Assumptions!$B$5))</f>
        <v>322303.5</v>
      </c>
      <c r="W5" s="44">
        <f>IF(COUNT(C5)=0,"",ROUND(C5*MAX(0,H5-Assumptions!$B$16)*12*Assumptions!$B$5*Assumptions!$B$17,2))</f>
        <v>0</v>
      </c>
      <c r="X5" s="44">
        <f>IF(COUNT(C5)=0,"",C5*F5*Assumptions!$B$19/100*Assumptions!$B$5+C5*IF(J5&lt;=Assumptions!$B$5,Assumptions!$B$20,0))</f>
        <v>58260.5</v>
      </c>
      <c r="Y5" s="44">
        <f t="shared" ref="Y5:Y21" si="2">IF(COUNT(C5)=0,"",SUM(V5:X5))</f>
        <v>380564</v>
      </c>
      <c r="Z5" s="44">
        <f t="shared" ref="Z5:Z21" si="3">IF(COUNT(C5)=0,"",ROUND(Y5/C5,2))</f>
        <v>356</v>
      </c>
      <c r="AA5" s="44">
        <f t="shared" ref="AA5:AA21" si="4">IF(COUNT(C5)=0,"",ROUND(T5-Y5,2))</f>
        <v>-76911.199999999997</v>
      </c>
      <c r="AB5" s="36" t="str">
        <f t="shared" ref="AB5:AB21" si="5">IF(COUNT(C5)=0,"Not modelled",IF(OR(K5&lt;=2,L5&lt;=2),"Not decisive",IF(T5&lt;Y5,"LoRaWAN",IF(T5&gt;Y5,"NB-IoT","Tie"))))</f>
        <v>LoRaWAN</v>
      </c>
      <c r="AC5" s="37">
        <f t="shared" ref="AC5:AC21" si="6">IF(COUNT(C5)=0,"",ABS(T5-Y5)/MAX(T5,Y5))</f>
        <v>0.20209793884865623</v>
      </c>
      <c r="AD5" s="38">
        <f t="shared" ref="AD5:AD21" si="7">IF(COUNT(C5)=0,"",IF((Z5-U5+Q5/C5)&lt;=0,"N/A",ROUND((Q5/D5)/(Z5-U5+Q5/C5),0)))</f>
        <v>15</v>
      </c>
      <c r="AE5" s="39" t="str">
        <f t="shared" ref="AE5:AE21" si="8">IF(COUNT(C5)=0,"Not modelled",IF(OR(K5&lt;=2,L5&lt;=2),"Technical constraint dominates cost",IF(AB5=N5,"Cost and architecture align","Review coverage, power and support model")))</f>
        <v>Review coverage, power and support model</v>
      </c>
    </row>
    <row r="6" spans="1:31" ht="26.45" customHeight="1">
      <c r="A6" s="25" t="s">
        <v>140</v>
      </c>
      <c r="B6" s="18" t="s">
        <v>141</v>
      </c>
      <c r="C6" s="19"/>
      <c r="D6" s="19">
        <v>1</v>
      </c>
      <c r="E6" s="20">
        <v>125</v>
      </c>
      <c r="F6" s="20">
        <v>140</v>
      </c>
      <c r="G6" s="20">
        <v>85</v>
      </c>
      <c r="H6" s="21">
        <v>0.2</v>
      </c>
      <c r="I6" s="21">
        <v>5</v>
      </c>
      <c r="J6" s="21">
        <v>4</v>
      </c>
      <c r="K6" s="19">
        <v>5</v>
      </c>
      <c r="L6" s="19">
        <v>5</v>
      </c>
      <c r="M6" s="18" t="s">
        <v>142</v>
      </c>
      <c r="N6" s="28" t="s">
        <v>143</v>
      </c>
      <c r="O6" s="18" t="s">
        <v>139</v>
      </c>
      <c r="P6" s="22">
        <f>C6*(E6+G6+Assumptions!$B$13)</f>
        <v>0</v>
      </c>
      <c r="Q6" s="22">
        <f>D6*Assumptions!$B$6*(Assumptions!$B$7+Assumptions!$B$8)+Assumptions!$B$5*(D6*Assumptions!$B$6*(Assumptions!$B$9+Assumptions!$B$10)+Assumptions!$B$12)</f>
        <v>1125.8</v>
      </c>
      <c r="R6" s="22">
        <f>C6*E6*Assumptions!$B$19/100*Assumptions!$B$5+C6*IF(I6&lt;=Assumptions!$B$5,Assumptions!$B$20,0)</f>
        <v>0</v>
      </c>
      <c r="S6" s="22">
        <f>C6*Assumptions!$B$11*12*Assumptions!$B$5</f>
        <v>0</v>
      </c>
      <c r="T6" s="45" t="str">
        <f t="shared" si="0"/>
        <v/>
      </c>
      <c r="U6" s="45" t="str">
        <f t="shared" si="1"/>
        <v/>
      </c>
      <c r="V6" s="45" t="str">
        <f>IF(COUNT(C6)=0,"",C6*(F6+G6+Assumptions!$B$18+Assumptions!$B$15+Assumptions!$B$14*12*Assumptions!$B$5))</f>
        <v/>
      </c>
      <c r="W6" s="45" t="str">
        <f>IF(COUNT(C6)=0,"",ROUND(C6*MAX(0,H6-Assumptions!$B$16)*12*Assumptions!$B$5*Assumptions!$B$17,2))</f>
        <v/>
      </c>
      <c r="X6" s="45" t="str">
        <f>IF(COUNT(C6)=0,"",C6*F6*Assumptions!$B$19/100*Assumptions!$B$5+C6*IF(J6&lt;=Assumptions!$B$5,Assumptions!$B$20,0))</f>
        <v/>
      </c>
      <c r="Y6" s="45" t="str">
        <f t="shared" si="2"/>
        <v/>
      </c>
      <c r="Z6" s="45" t="str">
        <f t="shared" si="3"/>
        <v/>
      </c>
      <c r="AA6" s="45" t="str">
        <f t="shared" si="4"/>
        <v/>
      </c>
      <c r="AB6" s="40" t="str">
        <f t="shared" si="5"/>
        <v>Not modelled</v>
      </c>
      <c r="AC6" s="41" t="str">
        <f t="shared" si="6"/>
        <v/>
      </c>
      <c r="AD6" s="42" t="str">
        <f t="shared" si="7"/>
        <v/>
      </c>
      <c r="AE6" s="43" t="str">
        <f t="shared" si="8"/>
        <v>Not modelled</v>
      </c>
    </row>
    <row r="7" spans="1:31" ht="26.45" customHeight="1">
      <c r="A7" s="25" t="s">
        <v>144</v>
      </c>
      <c r="B7" s="18" t="s">
        <v>145</v>
      </c>
      <c r="C7" s="19"/>
      <c r="D7" s="19">
        <v>1</v>
      </c>
      <c r="E7" s="20">
        <v>200</v>
      </c>
      <c r="F7" s="20">
        <v>220</v>
      </c>
      <c r="G7" s="20">
        <v>50</v>
      </c>
      <c r="H7" s="21">
        <v>0.5</v>
      </c>
      <c r="I7" s="21">
        <v>99</v>
      </c>
      <c r="J7" s="21">
        <v>99</v>
      </c>
      <c r="K7" s="19">
        <v>3</v>
      </c>
      <c r="L7" s="19">
        <v>3</v>
      </c>
      <c r="M7" s="18" t="s">
        <v>146</v>
      </c>
      <c r="N7" s="28" t="s">
        <v>147</v>
      </c>
      <c r="O7" s="18" t="s">
        <v>148</v>
      </c>
      <c r="P7" s="22">
        <f>C7*(E7+G7+Assumptions!$B$13)</f>
        <v>0</v>
      </c>
      <c r="Q7" s="22">
        <f>D7*Assumptions!$B$6*(Assumptions!$B$7+Assumptions!$B$8)+Assumptions!$B$5*(D7*Assumptions!$B$6*(Assumptions!$B$9+Assumptions!$B$10)+Assumptions!$B$12)</f>
        <v>1125.8</v>
      </c>
      <c r="R7" s="22">
        <f>C7*E7*Assumptions!$B$19/100*Assumptions!$B$5+C7*IF(I7&lt;=Assumptions!$B$5,Assumptions!$B$20,0)</f>
        <v>0</v>
      </c>
      <c r="S7" s="22">
        <f>C7*Assumptions!$B$11*12*Assumptions!$B$5</f>
        <v>0</v>
      </c>
      <c r="T7" s="45" t="str">
        <f t="shared" si="0"/>
        <v/>
      </c>
      <c r="U7" s="45" t="str">
        <f t="shared" si="1"/>
        <v/>
      </c>
      <c r="V7" s="45" t="str">
        <f>IF(COUNT(C7)=0,"",C7*(F7+G7+Assumptions!$B$18+Assumptions!$B$15+Assumptions!$B$14*12*Assumptions!$B$5))</f>
        <v/>
      </c>
      <c r="W7" s="45" t="str">
        <f>IF(COUNT(C7)=0,"",ROUND(C7*MAX(0,H7-Assumptions!$B$16)*12*Assumptions!$B$5*Assumptions!$B$17,2))</f>
        <v/>
      </c>
      <c r="X7" s="45" t="str">
        <f>IF(COUNT(C7)=0,"",C7*F7*Assumptions!$B$19/100*Assumptions!$B$5+C7*IF(J7&lt;=Assumptions!$B$5,Assumptions!$B$20,0))</f>
        <v/>
      </c>
      <c r="Y7" s="45" t="str">
        <f t="shared" si="2"/>
        <v/>
      </c>
      <c r="Z7" s="45" t="str">
        <f t="shared" si="3"/>
        <v/>
      </c>
      <c r="AA7" s="45" t="str">
        <f t="shared" si="4"/>
        <v/>
      </c>
      <c r="AB7" s="40" t="str">
        <f t="shared" si="5"/>
        <v>Not modelled</v>
      </c>
      <c r="AC7" s="41" t="str">
        <f t="shared" si="6"/>
        <v/>
      </c>
      <c r="AD7" s="42" t="str">
        <f t="shared" si="7"/>
        <v/>
      </c>
      <c r="AE7" s="43" t="str">
        <f t="shared" si="8"/>
        <v>Not modelled</v>
      </c>
    </row>
    <row r="8" spans="1:31" ht="26.45" customHeight="1">
      <c r="A8" s="25" t="s">
        <v>149</v>
      </c>
      <c r="B8" s="18" t="s">
        <v>136</v>
      </c>
      <c r="C8" s="19"/>
      <c r="D8" s="19">
        <v>1</v>
      </c>
      <c r="E8" s="20">
        <v>70</v>
      </c>
      <c r="F8" s="20">
        <v>80</v>
      </c>
      <c r="G8" s="20">
        <v>25</v>
      </c>
      <c r="H8" s="21">
        <v>0.1</v>
      </c>
      <c r="I8" s="21">
        <v>8</v>
      </c>
      <c r="J8" s="21">
        <v>6</v>
      </c>
      <c r="K8" s="19">
        <v>5</v>
      </c>
      <c r="L8" s="19">
        <v>4</v>
      </c>
      <c r="M8" s="18" t="s">
        <v>150</v>
      </c>
      <c r="N8" s="28" t="s">
        <v>151</v>
      </c>
      <c r="O8" s="18" t="s">
        <v>139</v>
      </c>
      <c r="P8" s="22">
        <f>C8*(E8+G8+Assumptions!$B$13)</f>
        <v>0</v>
      </c>
      <c r="Q8" s="22">
        <f>D8*Assumptions!$B$6*(Assumptions!$B$7+Assumptions!$B$8)+Assumptions!$B$5*(D8*Assumptions!$B$6*(Assumptions!$B$9+Assumptions!$B$10)+Assumptions!$B$12)</f>
        <v>1125.8</v>
      </c>
      <c r="R8" s="22">
        <f>C8*E8*Assumptions!$B$19/100*Assumptions!$B$5+C8*IF(I8&lt;=Assumptions!$B$5,Assumptions!$B$20,0)</f>
        <v>0</v>
      </c>
      <c r="S8" s="22">
        <f>C8*Assumptions!$B$11*12*Assumptions!$B$5</f>
        <v>0</v>
      </c>
      <c r="T8" s="45" t="str">
        <f t="shared" si="0"/>
        <v/>
      </c>
      <c r="U8" s="45" t="str">
        <f t="shared" si="1"/>
        <v/>
      </c>
      <c r="V8" s="45" t="str">
        <f>IF(COUNT(C8)=0,"",C8*(F8+G8+Assumptions!$B$18+Assumptions!$B$15+Assumptions!$B$14*12*Assumptions!$B$5))</f>
        <v/>
      </c>
      <c r="W8" s="45" t="str">
        <f>IF(COUNT(C8)=0,"",ROUND(C8*MAX(0,H8-Assumptions!$B$16)*12*Assumptions!$B$5*Assumptions!$B$17,2))</f>
        <v/>
      </c>
      <c r="X8" s="45" t="str">
        <f>IF(COUNT(C8)=0,"",C8*F8*Assumptions!$B$19/100*Assumptions!$B$5+C8*IF(J8&lt;=Assumptions!$B$5,Assumptions!$B$20,0))</f>
        <v/>
      </c>
      <c r="Y8" s="45" t="str">
        <f t="shared" si="2"/>
        <v/>
      </c>
      <c r="Z8" s="45" t="str">
        <f t="shared" si="3"/>
        <v/>
      </c>
      <c r="AA8" s="45" t="str">
        <f t="shared" si="4"/>
        <v/>
      </c>
      <c r="AB8" s="40" t="str">
        <f t="shared" si="5"/>
        <v>Not modelled</v>
      </c>
      <c r="AC8" s="41" t="str">
        <f t="shared" si="6"/>
        <v/>
      </c>
      <c r="AD8" s="42" t="str">
        <f t="shared" si="7"/>
        <v/>
      </c>
      <c r="AE8" s="43" t="str">
        <f t="shared" si="8"/>
        <v>Not modelled</v>
      </c>
    </row>
    <row r="9" spans="1:31" ht="26.45" customHeight="1">
      <c r="A9" s="25" t="s">
        <v>152</v>
      </c>
      <c r="B9" s="18" t="s">
        <v>153</v>
      </c>
      <c r="C9" s="19"/>
      <c r="D9" s="19">
        <v>1</v>
      </c>
      <c r="E9" s="20">
        <v>100</v>
      </c>
      <c r="F9" s="20">
        <v>110</v>
      </c>
      <c r="G9" s="20">
        <v>75</v>
      </c>
      <c r="H9" s="21">
        <v>0.3</v>
      </c>
      <c r="I9" s="21">
        <v>8</v>
      </c>
      <c r="J9" s="21">
        <v>6</v>
      </c>
      <c r="K9" s="19">
        <v>5</v>
      </c>
      <c r="L9" s="19">
        <v>5</v>
      </c>
      <c r="M9" s="18" t="s">
        <v>154</v>
      </c>
      <c r="N9" s="28" t="s">
        <v>155</v>
      </c>
      <c r="O9" s="18" t="s">
        <v>156</v>
      </c>
      <c r="P9" s="22">
        <f>C9*(E9+G9+Assumptions!$B$13)</f>
        <v>0</v>
      </c>
      <c r="Q9" s="22">
        <f>D9*Assumptions!$B$6*(Assumptions!$B$7+Assumptions!$B$8)+Assumptions!$B$5*(D9*Assumptions!$B$6*(Assumptions!$B$9+Assumptions!$B$10)+Assumptions!$B$12)</f>
        <v>1125.8</v>
      </c>
      <c r="R9" s="22">
        <f>C9*E9*Assumptions!$B$19/100*Assumptions!$B$5+C9*IF(I9&lt;=Assumptions!$B$5,Assumptions!$B$20,0)</f>
        <v>0</v>
      </c>
      <c r="S9" s="22">
        <f>C9*Assumptions!$B$11*12*Assumptions!$B$5</f>
        <v>0</v>
      </c>
      <c r="T9" s="45" t="str">
        <f t="shared" si="0"/>
        <v/>
      </c>
      <c r="U9" s="45" t="str">
        <f t="shared" si="1"/>
        <v/>
      </c>
      <c r="V9" s="45" t="str">
        <f>IF(COUNT(C9)=0,"",C9*(F9+G9+Assumptions!$B$18+Assumptions!$B$15+Assumptions!$B$14*12*Assumptions!$B$5))</f>
        <v/>
      </c>
      <c r="W9" s="45" t="str">
        <f>IF(COUNT(C9)=0,"",ROUND(C9*MAX(0,H9-Assumptions!$B$16)*12*Assumptions!$B$5*Assumptions!$B$17,2))</f>
        <v/>
      </c>
      <c r="X9" s="45" t="str">
        <f>IF(COUNT(C9)=0,"",C9*F9*Assumptions!$B$19/100*Assumptions!$B$5+C9*IF(J9&lt;=Assumptions!$B$5,Assumptions!$B$20,0))</f>
        <v/>
      </c>
      <c r="Y9" s="45" t="str">
        <f t="shared" si="2"/>
        <v/>
      </c>
      <c r="Z9" s="45" t="str">
        <f t="shared" si="3"/>
        <v/>
      </c>
      <c r="AA9" s="45" t="str">
        <f t="shared" si="4"/>
        <v/>
      </c>
      <c r="AB9" s="40" t="str">
        <f t="shared" si="5"/>
        <v>Not modelled</v>
      </c>
      <c r="AC9" s="41" t="str">
        <f t="shared" si="6"/>
        <v/>
      </c>
      <c r="AD9" s="42" t="str">
        <f t="shared" si="7"/>
        <v/>
      </c>
      <c r="AE9" s="43" t="str">
        <f t="shared" si="8"/>
        <v>Not modelled</v>
      </c>
    </row>
    <row r="10" spans="1:31" ht="26.45" customHeight="1">
      <c r="A10" s="25" t="s">
        <v>157</v>
      </c>
      <c r="B10" s="18" t="s">
        <v>158</v>
      </c>
      <c r="C10" s="19"/>
      <c r="D10" s="19">
        <v>1</v>
      </c>
      <c r="E10" s="20">
        <v>70</v>
      </c>
      <c r="F10" s="20">
        <v>76</v>
      </c>
      <c r="G10" s="20">
        <v>45</v>
      </c>
      <c r="H10" s="21">
        <v>0.5</v>
      </c>
      <c r="I10" s="21">
        <v>8</v>
      </c>
      <c r="J10" s="21">
        <v>6</v>
      </c>
      <c r="K10" s="19">
        <v>5</v>
      </c>
      <c r="L10" s="19">
        <v>5</v>
      </c>
      <c r="M10" s="18" t="s">
        <v>159</v>
      </c>
      <c r="N10" s="28" t="s">
        <v>160</v>
      </c>
      <c r="O10" s="18" t="s">
        <v>156</v>
      </c>
      <c r="P10" s="22">
        <f>C10*(E10+G10+Assumptions!$B$13)</f>
        <v>0</v>
      </c>
      <c r="Q10" s="22">
        <f>D10*Assumptions!$B$6*(Assumptions!$B$7+Assumptions!$B$8)+Assumptions!$B$5*(D10*Assumptions!$B$6*(Assumptions!$B$9+Assumptions!$B$10)+Assumptions!$B$12)</f>
        <v>1125.8</v>
      </c>
      <c r="R10" s="22">
        <f>C10*E10*Assumptions!$B$19/100*Assumptions!$B$5+C10*IF(I10&lt;=Assumptions!$B$5,Assumptions!$B$20,0)</f>
        <v>0</v>
      </c>
      <c r="S10" s="22">
        <f>C10*Assumptions!$B$11*12*Assumptions!$B$5</f>
        <v>0</v>
      </c>
      <c r="T10" s="45" t="str">
        <f t="shared" si="0"/>
        <v/>
      </c>
      <c r="U10" s="45" t="str">
        <f t="shared" si="1"/>
        <v/>
      </c>
      <c r="V10" s="45" t="str">
        <f>IF(COUNT(C10)=0,"",C10*(F10+G10+Assumptions!$B$18+Assumptions!$B$15+Assumptions!$B$14*12*Assumptions!$B$5))</f>
        <v/>
      </c>
      <c r="W10" s="45" t="str">
        <f>IF(COUNT(C10)=0,"",ROUND(C10*MAX(0,H10-Assumptions!$B$16)*12*Assumptions!$B$5*Assumptions!$B$17,2))</f>
        <v/>
      </c>
      <c r="X10" s="45" t="str">
        <f>IF(COUNT(C10)=0,"",C10*F10*Assumptions!$B$19/100*Assumptions!$B$5+C10*IF(J10&lt;=Assumptions!$B$5,Assumptions!$B$20,0))</f>
        <v/>
      </c>
      <c r="Y10" s="45" t="str">
        <f t="shared" si="2"/>
        <v/>
      </c>
      <c r="Z10" s="45" t="str">
        <f t="shared" si="3"/>
        <v/>
      </c>
      <c r="AA10" s="45" t="str">
        <f t="shared" si="4"/>
        <v/>
      </c>
      <c r="AB10" s="40" t="str">
        <f t="shared" si="5"/>
        <v>Not modelled</v>
      </c>
      <c r="AC10" s="41" t="str">
        <f t="shared" si="6"/>
        <v/>
      </c>
      <c r="AD10" s="42" t="str">
        <f t="shared" si="7"/>
        <v/>
      </c>
      <c r="AE10" s="43" t="str">
        <f t="shared" si="8"/>
        <v>Not modelled</v>
      </c>
    </row>
    <row r="11" spans="1:31" ht="26.45" customHeight="1">
      <c r="A11" s="25" t="s">
        <v>161</v>
      </c>
      <c r="B11" s="18" t="s">
        <v>162</v>
      </c>
      <c r="C11" s="19"/>
      <c r="D11" s="19">
        <v>1</v>
      </c>
      <c r="E11" s="20">
        <v>300</v>
      </c>
      <c r="F11" s="20">
        <v>320</v>
      </c>
      <c r="G11" s="20">
        <v>250</v>
      </c>
      <c r="H11" s="21">
        <v>1</v>
      </c>
      <c r="I11" s="21">
        <v>5</v>
      </c>
      <c r="J11" s="21">
        <v>4</v>
      </c>
      <c r="K11" s="19">
        <v>4</v>
      </c>
      <c r="L11" s="19">
        <v>5</v>
      </c>
      <c r="M11" s="18" t="s">
        <v>163</v>
      </c>
      <c r="N11" s="28" t="s">
        <v>164</v>
      </c>
      <c r="O11" s="18" t="s">
        <v>139</v>
      </c>
      <c r="P11" s="22">
        <f>C11*(E11+G11+Assumptions!$B$13)</f>
        <v>0</v>
      </c>
      <c r="Q11" s="22">
        <f>D11*Assumptions!$B$6*(Assumptions!$B$7+Assumptions!$B$8)+Assumptions!$B$5*(D11*Assumptions!$B$6*(Assumptions!$B$9+Assumptions!$B$10)+Assumptions!$B$12)</f>
        <v>1125.8</v>
      </c>
      <c r="R11" s="22">
        <f>C11*E11*Assumptions!$B$19/100*Assumptions!$B$5+C11*IF(I11&lt;=Assumptions!$B$5,Assumptions!$B$20,0)</f>
        <v>0</v>
      </c>
      <c r="S11" s="22">
        <f>C11*Assumptions!$B$11*12*Assumptions!$B$5</f>
        <v>0</v>
      </c>
      <c r="T11" s="45" t="str">
        <f t="shared" si="0"/>
        <v/>
      </c>
      <c r="U11" s="45" t="str">
        <f t="shared" si="1"/>
        <v/>
      </c>
      <c r="V11" s="45" t="str">
        <f>IF(COUNT(C11)=0,"",C11*(F11+G11+Assumptions!$B$18+Assumptions!$B$15+Assumptions!$B$14*12*Assumptions!$B$5))</f>
        <v/>
      </c>
      <c r="W11" s="45" t="str">
        <f>IF(COUNT(C11)=0,"",ROUND(C11*MAX(0,H11-Assumptions!$B$16)*12*Assumptions!$B$5*Assumptions!$B$17,2))</f>
        <v/>
      </c>
      <c r="X11" s="45" t="str">
        <f>IF(COUNT(C11)=0,"",C11*F11*Assumptions!$B$19/100*Assumptions!$B$5+C11*IF(J11&lt;=Assumptions!$B$5,Assumptions!$B$20,0))</f>
        <v/>
      </c>
      <c r="Y11" s="45" t="str">
        <f t="shared" si="2"/>
        <v/>
      </c>
      <c r="Z11" s="45" t="str">
        <f t="shared" si="3"/>
        <v/>
      </c>
      <c r="AA11" s="45" t="str">
        <f t="shared" si="4"/>
        <v/>
      </c>
      <c r="AB11" s="40" t="str">
        <f t="shared" si="5"/>
        <v>Not modelled</v>
      </c>
      <c r="AC11" s="41" t="str">
        <f t="shared" si="6"/>
        <v/>
      </c>
      <c r="AD11" s="42" t="str">
        <f t="shared" si="7"/>
        <v/>
      </c>
      <c r="AE11" s="43" t="str">
        <f t="shared" si="8"/>
        <v>Not modelled</v>
      </c>
    </row>
    <row r="12" spans="1:31" ht="26.45" customHeight="1">
      <c r="A12" s="25" t="s">
        <v>165</v>
      </c>
      <c r="B12" s="18" t="s">
        <v>166</v>
      </c>
      <c r="C12" s="19"/>
      <c r="D12" s="19">
        <v>1</v>
      </c>
      <c r="E12" s="20">
        <v>85</v>
      </c>
      <c r="F12" s="20">
        <v>95</v>
      </c>
      <c r="G12" s="20">
        <v>70</v>
      </c>
      <c r="H12" s="21">
        <v>0.3</v>
      </c>
      <c r="I12" s="21">
        <v>8</v>
      </c>
      <c r="J12" s="21">
        <v>6</v>
      </c>
      <c r="K12" s="19">
        <v>5</v>
      </c>
      <c r="L12" s="19">
        <v>5</v>
      </c>
      <c r="M12" s="18" t="s">
        <v>167</v>
      </c>
      <c r="N12" s="28" t="s">
        <v>168</v>
      </c>
      <c r="O12" s="18" t="s">
        <v>156</v>
      </c>
      <c r="P12" s="22">
        <f>C12*(E12+G12+Assumptions!$B$13)</f>
        <v>0</v>
      </c>
      <c r="Q12" s="22">
        <f>D12*Assumptions!$B$6*(Assumptions!$B$7+Assumptions!$B$8)+Assumptions!$B$5*(D12*Assumptions!$B$6*(Assumptions!$B$9+Assumptions!$B$10)+Assumptions!$B$12)</f>
        <v>1125.8</v>
      </c>
      <c r="R12" s="22">
        <f>C12*E12*Assumptions!$B$19/100*Assumptions!$B$5+C12*IF(I12&lt;=Assumptions!$B$5,Assumptions!$B$20,0)</f>
        <v>0</v>
      </c>
      <c r="S12" s="22">
        <f>C12*Assumptions!$B$11*12*Assumptions!$B$5</f>
        <v>0</v>
      </c>
      <c r="T12" s="45" t="str">
        <f t="shared" si="0"/>
        <v/>
      </c>
      <c r="U12" s="45" t="str">
        <f t="shared" si="1"/>
        <v/>
      </c>
      <c r="V12" s="45" t="str">
        <f>IF(COUNT(C12)=0,"",C12*(F12+G12+Assumptions!$B$18+Assumptions!$B$15+Assumptions!$B$14*12*Assumptions!$B$5))</f>
        <v/>
      </c>
      <c r="W12" s="45" t="str">
        <f>IF(COUNT(C12)=0,"",ROUND(C12*MAX(0,H12-Assumptions!$B$16)*12*Assumptions!$B$5*Assumptions!$B$17,2))</f>
        <v/>
      </c>
      <c r="X12" s="45" t="str">
        <f>IF(COUNT(C12)=0,"",C12*F12*Assumptions!$B$19/100*Assumptions!$B$5+C12*IF(J12&lt;=Assumptions!$B$5,Assumptions!$B$20,0))</f>
        <v/>
      </c>
      <c r="Y12" s="45" t="str">
        <f t="shared" si="2"/>
        <v/>
      </c>
      <c r="Z12" s="45" t="str">
        <f t="shared" si="3"/>
        <v/>
      </c>
      <c r="AA12" s="45" t="str">
        <f t="shared" si="4"/>
        <v/>
      </c>
      <c r="AB12" s="40" t="str">
        <f t="shared" si="5"/>
        <v>Not modelled</v>
      </c>
      <c r="AC12" s="41" t="str">
        <f t="shared" si="6"/>
        <v/>
      </c>
      <c r="AD12" s="42" t="str">
        <f t="shared" si="7"/>
        <v/>
      </c>
      <c r="AE12" s="43" t="str">
        <f t="shared" si="8"/>
        <v>Not modelled</v>
      </c>
    </row>
    <row r="13" spans="1:31" ht="26.45" customHeight="1">
      <c r="A13" s="25" t="s">
        <v>169</v>
      </c>
      <c r="B13" s="18" t="s">
        <v>166</v>
      </c>
      <c r="C13" s="19"/>
      <c r="D13" s="19">
        <v>1</v>
      </c>
      <c r="E13" s="20">
        <v>100</v>
      </c>
      <c r="F13" s="20">
        <v>110</v>
      </c>
      <c r="G13" s="20">
        <v>90</v>
      </c>
      <c r="H13" s="21">
        <v>0.5</v>
      </c>
      <c r="I13" s="21">
        <v>8</v>
      </c>
      <c r="J13" s="21">
        <v>6</v>
      </c>
      <c r="K13" s="19">
        <v>5</v>
      </c>
      <c r="L13" s="19">
        <v>5</v>
      </c>
      <c r="M13" s="18" t="s">
        <v>170</v>
      </c>
      <c r="N13" s="28" t="s">
        <v>171</v>
      </c>
      <c r="O13" s="18" t="s">
        <v>156</v>
      </c>
      <c r="P13" s="22">
        <f>C13*(E13+G13+Assumptions!$B$13)</f>
        <v>0</v>
      </c>
      <c r="Q13" s="22">
        <f>D13*Assumptions!$B$6*(Assumptions!$B$7+Assumptions!$B$8)+Assumptions!$B$5*(D13*Assumptions!$B$6*(Assumptions!$B$9+Assumptions!$B$10)+Assumptions!$B$12)</f>
        <v>1125.8</v>
      </c>
      <c r="R13" s="22">
        <f>C13*E13*Assumptions!$B$19/100*Assumptions!$B$5+C13*IF(I13&lt;=Assumptions!$B$5,Assumptions!$B$20,0)</f>
        <v>0</v>
      </c>
      <c r="S13" s="22">
        <f>C13*Assumptions!$B$11*12*Assumptions!$B$5</f>
        <v>0</v>
      </c>
      <c r="T13" s="45" t="str">
        <f t="shared" si="0"/>
        <v/>
      </c>
      <c r="U13" s="45" t="str">
        <f t="shared" si="1"/>
        <v/>
      </c>
      <c r="V13" s="45" t="str">
        <f>IF(COUNT(C13)=0,"",C13*(F13+G13+Assumptions!$B$18+Assumptions!$B$15+Assumptions!$B$14*12*Assumptions!$B$5))</f>
        <v/>
      </c>
      <c r="W13" s="45" t="str">
        <f>IF(COUNT(C13)=0,"",ROUND(C13*MAX(0,H13-Assumptions!$B$16)*12*Assumptions!$B$5*Assumptions!$B$17,2))</f>
        <v/>
      </c>
      <c r="X13" s="45" t="str">
        <f>IF(COUNT(C13)=0,"",C13*F13*Assumptions!$B$19/100*Assumptions!$B$5+C13*IF(J13&lt;=Assumptions!$B$5,Assumptions!$B$20,0))</f>
        <v/>
      </c>
      <c r="Y13" s="45" t="str">
        <f t="shared" si="2"/>
        <v/>
      </c>
      <c r="Z13" s="45" t="str">
        <f t="shared" si="3"/>
        <v/>
      </c>
      <c r="AA13" s="45" t="str">
        <f t="shared" si="4"/>
        <v/>
      </c>
      <c r="AB13" s="40" t="str">
        <f t="shared" si="5"/>
        <v>Not modelled</v>
      </c>
      <c r="AC13" s="41" t="str">
        <f t="shared" si="6"/>
        <v/>
      </c>
      <c r="AD13" s="42" t="str">
        <f t="shared" si="7"/>
        <v/>
      </c>
      <c r="AE13" s="43" t="str">
        <f t="shared" si="8"/>
        <v>Not modelled</v>
      </c>
    </row>
    <row r="14" spans="1:31" ht="26.45" customHeight="1">
      <c r="A14" s="25" t="s">
        <v>172</v>
      </c>
      <c r="B14" s="18" t="s">
        <v>173</v>
      </c>
      <c r="C14" s="19"/>
      <c r="D14" s="19">
        <v>1</v>
      </c>
      <c r="E14" s="20">
        <v>65</v>
      </c>
      <c r="F14" s="20">
        <v>75</v>
      </c>
      <c r="G14" s="20">
        <v>30</v>
      </c>
      <c r="H14" s="21">
        <v>0.1</v>
      </c>
      <c r="I14" s="21">
        <v>5</v>
      </c>
      <c r="J14" s="21">
        <v>4</v>
      </c>
      <c r="K14" s="19">
        <v>5</v>
      </c>
      <c r="L14" s="19">
        <v>5</v>
      </c>
      <c r="M14" s="18" t="s">
        <v>174</v>
      </c>
      <c r="N14" s="28" t="s">
        <v>175</v>
      </c>
      <c r="O14" s="18" t="s">
        <v>156</v>
      </c>
      <c r="P14" s="22">
        <f>C14*(E14+G14+Assumptions!$B$13)</f>
        <v>0</v>
      </c>
      <c r="Q14" s="22">
        <f>D14*Assumptions!$B$6*(Assumptions!$B$7+Assumptions!$B$8)+Assumptions!$B$5*(D14*Assumptions!$B$6*(Assumptions!$B$9+Assumptions!$B$10)+Assumptions!$B$12)</f>
        <v>1125.8</v>
      </c>
      <c r="R14" s="22">
        <f>C14*E14*Assumptions!$B$19/100*Assumptions!$B$5+C14*IF(I14&lt;=Assumptions!$B$5,Assumptions!$B$20,0)</f>
        <v>0</v>
      </c>
      <c r="S14" s="22">
        <f>C14*Assumptions!$B$11*12*Assumptions!$B$5</f>
        <v>0</v>
      </c>
      <c r="T14" s="45" t="str">
        <f t="shared" si="0"/>
        <v/>
      </c>
      <c r="U14" s="45" t="str">
        <f t="shared" si="1"/>
        <v/>
      </c>
      <c r="V14" s="45" t="str">
        <f>IF(COUNT(C14)=0,"",C14*(F14+G14+Assumptions!$B$18+Assumptions!$B$15+Assumptions!$B$14*12*Assumptions!$B$5))</f>
        <v/>
      </c>
      <c r="W14" s="45" t="str">
        <f>IF(COUNT(C14)=0,"",ROUND(C14*MAX(0,H14-Assumptions!$B$16)*12*Assumptions!$B$5*Assumptions!$B$17,2))</f>
        <v/>
      </c>
      <c r="X14" s="45" t="str">
        <f>IF(COUNT(C14)=0,"",C14*F14*Assumptions!$B$19/100*Assumptions!$B$5+C14*IF(J14&lt;=Assumptions!$B$5,Assumptions!$B$20,0))</f>
        <v/>
      </c>
      <c r="Y14" s="45" t="str">
        <f t="shared" si="2"/>
        <v/>
      </c>
      <c r="Z14" s="45" t="str">
        <f t="shared" si="3"/>
        <v/>
      </c>
      <c r="AA14" s="45" t="str">
        <f t="shared" si="4"/>
        <v/>
      </c>
      <c r="AB14" s="40" t="str">
        <f t="shared" si="5"/>
        <v>Not modelled</v>
      </c>
      <c r="AC14" s="41" t="str">
        <f t="shared" si="6"/>
        <v/>
      </c>
      <c r="AD14" s="42" t="str">
        <f t="shared" si="7"/>
        <v/>
      </c>
      <c r="AE14" s="43" t="str">
        <f t="shared" si="8"/>
        <v>Not modelled</v>
      </c>
    </row>
    <row r="15" spans="1:31" ht="26.45" customHeight="1">
      <c r="A15" s="25" t="s">
        <v>176</v>
      </c>
      <c r="B15" s="18" t="s">
        <v>177</v>
      </c>
      <c r="C15" s="19"/>
      <c r="D15" s="19">
        <v>1</v>
      </c>
      <c r="E15" s="20">
        <v>150</v>
      </c>
      <c r="F15" s="20">
        <v>165</v>
      </c>
      <c r="G15" s="20">
        <v>80</v>
      </c>
      <c r="H15" s="21">
        <v>2</v>
      </c>
      <c r="I15" s="21">
        <v>5</v>
      </c>
      <c r="J15" s="21">
        <v>4</v>
      </c>
      <c r="K15" s="19">
        <v>4</v>
      </c>
      <c r="L15" s="19">
        <v>5</v>
      </c>
      <c r="M15" s="18" t="s">
        <v>178</v>
      </c>
      <c r="N15" s="28" t="s">
        <v>179</v>
      </c>
      <c r="O15" s="18" t="s">
        <v>139</v>
      </c>
      <c r="P15" s="22">
        <f>C15*(E15+G15+Assumptions!$B$13)</f>
        <v>0</v>
      </c>
      <c r="Q15" s="22">
        <f>D15*Assumptions!$B$6*(Assumptions!$B$7+Assumptions!$B$8)+Assumptions!$B$5*(D15*Assumptions!$B$6*(Assumptions!$B$9+Assumptions!$B$10)+Assumptions!$B$12)</f>
        <v>1125.8</v>
      </c>
      <c r="R15" s="22">
        <f>C15*E15*Assumptions!$B$19/100*Assumptions!$B$5+C15*IF(I15&lt;=Assumptions!$B$5,Assumptions!$B$20,0)</f>
        <v>0</v>
      </c>
      <c r="S15" s="22">
        <f>C15*Assumptions!$B$11*12*Assumptions!$B$5</f>
        <v>0</v>
      </c>
      <c r="T15" s="45" t="str">
        <f t="shared" si="0"/>
        <v/>
      </c>
      <c r="U15" s="45" t="str">
        <f t="shared" si="1"/>
        <v/>
      </c>
      <c r="V15" s="45" t="str">
        <f>IF(COUNT(C15)=0,"",C15*(F15+G15+Assumptions!$B$18+Assumptions!$B$15+Assumptions!$B$14*12*Assumptions!$B$5))</f>
        <v/>
      </c>
      <c r="W15" s="45" t="str">
        <f>IF(COUNT(C15)=0,"",ROUND(C15*MAX(0,H15-Assumptions!$B$16)*12*Assumptions!$B$5*Assumptions!$B$17,2))</f>
        <v/>
      </c>
      <c r="X15" s="45" t="str">
        <f>IF(COUNT(C15)=0,"",C15*F15*Assumptions!$B$19/100*Assumptions!$B$5+C15*IF(J15&lt;=Assumptions!$B$5,Assumptions!$B$20,0))</f>
        <v/>
      </c>
      <c r="Y15" s="45" t="str">
        <f t="shared" si="2"/>
        <v/>
      </c>
      <c r="Z15" s="45" t="str">
        <f t="shared" si="3"/>
        <v/>
      </c>
      <c r="AA15" s="45" t="str">
        <f t="shared" si="4"/>
        <v/>
      </c>
      <c r="AB15" s="40" t="str">
        <f t="shared" si="5"/>
        <v>Not modelled</v>
      </c>
      <c r="AC15" s="41" t="str">
        <f t="shared" si="6"/>
        <v/>
      </c>
      <c r="AD15" s="42" t="str">
        <f t="shared" si="7"/>
        <v/>
      </c>
      <c r="AE15" s="43" t="str">
        <f t="shared" si="8"/>
        <v>Not modelled</v>
      </c>
    </row>
    <row r="16" spans="1:31" ht="26.45" customHeight="1">
      <c r="A16" s="25" t="s">
        <v>180</v>
      </c>
      <c r="B16" s="18" t="s">
        <v>181</v>
      </c>
      <c r="C16" s="19"/>
      <c r="D16" s="19">
        <v>1</v>
      </c>
      <c r="E16" s="20">
        <v>124</v>
      </c>
      <c r="F16" s="20">
        <v>124</v>
      </c>
      <c r="G16" s="20">
        <v>75</v>
      </c>
      <c r="H16" s="21">
        <v>0.2</v>
      </c>
      <c r="I16" s="21">
        <v>8</v>
      </c>
      <c r="J16" s="21">
        <v>6</v>
      </c>
      <c r="K16" s="19">
        <v>5</v>
      </c>
      <c r="L16" s="19">
        <v>5</v>
      </c>
      <c r="M16" s="18" t="s">
        <v>182</v>
      </c>
      <c r="N16" s="28" t="s">
        <v>183</v>
      </c>
      <c r="O16" s="18" t="s">
        <v>156</v>
      </c>
      <c r="P16" s="22">
        <f>C16*(E16+G16+Assumptions!$B$13)</f>
        <v>0</v>
      </c>
      <c r="Q16" s="22">
        <f>D16*Assumptions!$B$6*(Assumptions!$B$7+Assumptions!$B$8)+Assumptions!$B$5*(D16*Assumptions!$B$6*(Assumptions!$B$9+Assumptions!$B$10)+Assumptions!$B$12)</f>
        <v>1125.8</v>
      </c>
      <c r="R16" s="22">
        <f>C16*E16*Assumptions!$B$19/100*Assumptions!$B$5+C16*IF(I16&lt;=Assumptions!$B$5,Assumptions!$B$20,0)</f>
        <v>0</v>
      </c>
      <c r="S16" s="22">
        <f>C16*Assumptions!$B$11*12*Assumptions!$B$5</f>
        <v>0</v>
      </c>
      <c r="T16" s="45" t="str">
        <f t="shared" si="0"/>
        <v/>
      </c>
      <c r="U16" s="45" t="str">
        <f t="shared" si="1"/>
        <v/>
      </c>
      <c r="V16" s="45" t="str">
        <f>IF(COUNT(C16)=0,"",C16*(F16+G16+Assumptions!$B$18+Assumptions!$B$15+Assumptions!$B$14*12*Assumptions!$B$5))</f>
        <v/>
      </c>
      <c r="W16" s="45" t="str">
        <f>IF(COUNT(C16)=0,"",ROUND(C16*MAX(0,H16-Assumptions!$B$16)*12*Assumptions!$B$5*Assumptions!$B$17,2))</f>
        <v/>
      </c>
      <c r="X16" s="45" t="str">
        <f>IF(COUNT(C16)=0,"",C16*F16*Assumptions!$B$19/100*Assumptions!$B$5+C16*IF(J16&lt;=Assumptions!$B$5,Assumptions!$B$20,0))</f>
        <v/>
      </c>
      <c r="Y16" s="45" t="str">
        <f t="shared" si="2"/>
        <v/>
      </c>
      <c r="Z16" s="45" t="str">
        <f t="shared" si="3"/>
        <v/>
      </c>
      <c r="AA16" s="45" t="str">
        <f t="shared" si="4"/>
        <v/>
      </c>
      <c r="AB16" s="40" t="str">
        <f t="shared" si="5"/>
        <v>Not modelled</v>
      </c>
      <c r="AC16" s="41" t="str">
        <f t="shared" si="6"/>
        <v/>
      </c>
      <c r="AD16" s="42" t="str">
        <f t="shared" si="7"/>
        <v/>
      </c>
      <c r="AE16" s="43" t="str">
        <f t="shared" si="8"/>
        <v>Not modelled</v>
      </c>
    </row>
    <row r="17" spans="1:31" ht="26.45" customHeight="1">
      <c r="A17" s="25" t="s">
        <v>184</v>
      </c>
      <c r="B17" s="18" t="s">
        <v>181</v>
      </c>
      <c r="C17" s="19"/>
      <c r="D17" s="19">
        <v>1</v>
      </c>
      <c r="E17" s="20">
        <v>450</v>
      </c>
      <c r="F17" s="20">
        <v>475</v>
      </c>
      <c r="G17" s="20">
        <v>180</v>
      </c>
      <c r="H17" s="21">
        <v>5</v>
      </c>
      <c r="I17" s="21">
        <v>4</v>
      </c>
      <c r="J17" s="21">
        <v>3</v>
      </c>
      <c r="K17" s="19">
        <v>2</v>
      </c>
      <c r="L17" s="19">
        <v>2</v>
      </c>
      <c r="M17" s="18" t="s">
        <v>185</v>
      </c>
      <c r="N17" s="28" t="s">
        <v>186</v>
      </c>
      <c r="O17" s="18" t="s">
        <v>148</v>
      </c>
      <c r="P17" s="22">
        <f>C17*(E17+G17+Assumptions!$B$13)</f>
        <v>0</v>
      </c>
      <c r="Q17" s="22">
        <f>D17*Assumptions!$B$6*(Assumptions!$B$7+Assumptions!$B$8)+Assumptions!$B$5*(D17*Assumptions!$B$6*(Assumptions!$B$9+Assumptions!$B$10)+Assumptions!$B$12)</f>
        <v>1125.8</v>
      </c>
      <c r="R17" s="22">
        <f>C17*E17*Assumptions!$B$19/100*Assumptions!$B$5+C17*IF(I17&lt;=Assumptions!$B$5,Assumptions!$B$20,0)</f>
        <v>0</v>
      </c>
      <c r="S17" s="22">
        <f>C17*Assumptions!$B$11*12*Assumptions!$B$5</f>
        <v>0</v>
      </c>
      <c r="T17" s="45" t="str">
        <f t="shared" si="0"/>
        <v/>
      </c>
      <c r="U17" s="45" t="str">
        <f t="shared" si="1"/>
        <v/>
      </c>
      <c r="V17" s="45" t="str">
        <f>IF(COUNT(C17)=0,"",C17*(F17+G17+Assumptions!$B$18+Assumptions!$B$15+Assumptions!$B$14*12*Assumptions!$B$5))</f>
        <v/>
      </c>
      <c r="W17" s="45" t="str">
        <f>IF(COUNT(C17)=0,"",ROUND(C17*MAX(0,H17-Assumptions!$B$16)*12*Assumptions!$B$5*Assumptions!$B$17,2))</f>
        <v/>
      </c>
      <c r="X17" s="45" t="str">
        <f>IF(COUNT(C17)=0,"",C17*F17*Assumptions!$B$19/100*Assumptions!$B$5+C17*IF(J17&lt;=Assumptions!$B$5,Assumptions!$B$20,0))</f>
        <v/>
      </c>
      <c r="Y17" s="45" t="str">
        <f t="shared" si="2"/>
        <v/>
      </c>
      <c r="Z17" s="45" t="str">
        <f t="shared" si="3"/>
        <v/>
      </c>
      <c r="AA17" s="45" t="str">
        <f t="shared" si="4"/>
        <v/>
      </c>
      <c r="AB17" s="40" t="str">
        <f t="shared" si="5"/>
        <v>Not modelled</v>
      </c>
      <c r="AC17" s="41" t="str">
        <f t="shared" si="6"/>
        <v/>
      </c>
      <c r="AD17" s="42" t="str">
        <f t="shared" si="7"/>
        <v/>
      </c>
      <c r="AE17" s="43" t="str">
        <f t="shared" si="8"/>
        <v>Not modelled</v>
      </c>
    </row>
    <row r="18" spans="1:31" ht="26.45" customHeight="1">
      <c r="A18" s="25" t="s">
        <v>187</v>
      </c>
      <c r="B18" s="18" t="s">
        <v>188</v>
      </c>
      <c r="C18" s="19"/>
      <c r="D18" s="19">
        <v>1</v>
      </c>
      <c r="E18" s="20">
        <v>100</v>
      </c>
      <c r="F18" s="20">
        <v>110</v>
      </c>
      <c r="G18" s="20">
        <v>70</v>
      </c>
      <c r="H18" s="21">
        <v>2</v>
      </c>
      <c r="I18" s="21">
        <v>5</v>
      </c>
      <c r="J18" s="21">
        <v>4</v>
      </c>
      <c r="K18" s="19">
        <v>4</v>
      </c>
      <c r="L18" s="19">
        <v>4</v>
      </c>
      <c r="M18" s="18" t="s">
        <v>189</v>
      </c>
      <c r="N18" s="28" t="s">
        <v>190</v>
      </c>
      <c r="O18" s="18" t="s">
        <v>139</v>
      </c>
      <c r="P18" s="22">
        <f>C18*(E18+G18+Assumptions!$B$13)</f>
        <v>0</v>
      </c>
      <c r="Q18" s="22">
        <f>D18*Assumptions!$B$6*(Assumptions!$B$7+Assumptions!$B$8)+Assumptions!$B$5*(D18*Assumptions!$B$6*(Assumptions!$B$9+Assumptions!$B$10)+Assumptions!$B$12)</f>
        <v>1125.8</v>
      </c>
      <c r="R18" s="22">
        <f>C18*E18*Assumptions!$B$19/100*Assumptions!$B$5+C18*IF(I18&lt;=Assumptions!$B$5,Assumptions!$B$20,0)</f>
        <v>0</v>
      </c>
      <c r="S18" s="22">
        <f>C18*Assumptions!$B$11*12*Assumptions!$B$5</f>
        <v>0</v>
      </c>
      <c r="T18" s="45" t="str">
        <f t="shared" si="0"/>
        <v/>
      </c>
      <c r="U18" s="45" t="str">
        <f t="shared" si="1"/>
        <v/>
      </c>
      <c r="V18" s="45" t="str">
        <f>IF(COUNT(C18)=0,"",C18*(F18+G18+Assumptions!$B$18+Assumptions!$B$15+Assumptions!$B$14*12*Assumptions!$B$5))</f>
        <v/>
      </c>
      <c r="W18" s="45" t="str">
        <f>IF(COUNT(C18)=0,"",ROUND(C18*MAX(0,H18-Assumptions!$B$16)*12*Assumptions!$B$5*Assumptions!$B$17,2))</f>
        <v/>
      </c>
      <c r="X18" s="45" t="str">
        <f>IF(COUNT(C18)=0,"",C18*F18*Assumptions!$B$19/100*Assumptions!$B$5+C18*IF(J18&lt;=Assumptions!$B$5,Assumptions!$B$20,0))</f>
        <v/>
      </c>
      <c r="Y18" s="45" t="str">
        <f t="shared" si="2"/>
        <v/>
      </c>
      <c r="Z18" s="45" t="str">
        <f t="shared" si="3"/>
        <v/>
      </c>
      <c r="AA18" s="45" t="str">
        <f t="shared" si="4"/>
        <v/>
      </c>
      <c r="AB18" s="40" t="str">
        <f t="shared" si="5"/>
        <v>Not modelled</v>
      </c>
      <c r="AC18" s="41" t="str">
        <f t="shared" si="6"/>
        <v/>
      </c>
      <c r="AD18" s="42" t="str">
        <f t="shared" si="7"/>
        <v/>
      </c>
      <c r="AE18" s="43" t="str">
        <f t="shared" si="8"/>
        <v>Not modelled</v>
      </c>
    </row>
    <row r="19" spans="1:31" ht="26.45" customHeight="1">
      <c r="A19" s="25" t="s">
        <v>191</v>
      </c>
      <c r="B19" s="18" t="s">
        <v>192</v>
      </c>
      <c r="C19" s="19"/>
      <c r="D19" s="19">
        <v>1</v>
      </c>
      <c r="E19" s="20">
        <v>140</v>
      </c>
      <c r="F19" s="20">
        <v>150</v>
      </c>
      <c r="G19" s="20">
        <v>180</v>
      </c>
      <c r="H19" s="21">
        <v>0.5</v>
      </c>
      <c r="I19" s="21">
        <v>8</v>
      </c>
      <c r="J19" s="21">
        <v>6</v>
      </c>
      <c r="K19" s="19">
        <v>4</v>
      </c>
      <c r="L19" s="19">
        <v>4</v>
      </c>
      <c r="M19" s="18" t="s">
        <v>193</v>
      </c>
      <c r="N19" s="28" t="s">
        <v>194</v>
      </c>
      <c r="O19" s="18" t="s">
        <v>148</v>
      </c>
      <c r="P19" s="22">
        <f>C19*(E19+G19+Assumptions!$B$13)</f>
        <v>0</v>
      </c>
      <c r="Q19" s="22">
        <f>D19*Assumptions!$B$6*(Assumptions!$B$7+Assumptions!$B$8)+Assumptions!$B$5*(D19*Assumptions!$B$6*(Assumptions!$B$9+Assumptions!$B$10)+Assumptions!$B$12)</f>
        <v>1125.8</v>
      </c>
      <c r="R19" s="22">
        <f>C19*E19*Assumptions!$B$19/100*Assumptions!$B$5+C19*IF(I19&lt;=Assumptions!$B$5,Assumptions!$B$20,0)</f>
        <v>0</v>
      </c>
      <c r="S19" s="22">
        <f>C19*Assumptions!$B$11*12*Assumptions!$B$5</f>
        <v>0</v>
      </c>
      <c r="T19" s="45" t="str">
        <f t="shared" si="0"/>
        <v/>
      </c>
      <c r="U19" s="45" t="str">
        <f t="shared" si="1"/>
        <v/>
      </c>
      <c r="V19" s="45" t="str">
        <f>IF(COUNT(C19)=0,"",C19*(F19+G19+Assumptions!$B$18+Assumptions!$B$15+Assumptions!$B$14*12*Assumptions!$B$5))</f>
        <v/>
      </c>
      <c r="W19" s="45" t="str">
        <f>IF(COUNT(C19)=0,"",ROUND(C19*MAX(0,H19-Assumptions!$B$16)*12*Assumptions!$B$5*Assumptions!$B$17,2))</f>
        <v/>
      </c>
      <c r="X19" s="45" t="str">
        <f>IF(COUNT(C19)=0,"",C19*F19*Assumptions!$B$19/100*Assumptions!$B$5+C19*IF(J19&lt;=Assumptions!$B$5,Assumptions!$B$20,0))</f>
        <v/>
      </c>
      <c r="Y19" s="45" t="str">
        <f t="shared" si="2"/>
        <v/>
      </c>
      <c r="Z19" s="45" t="str">
        <f t="shared" si="3"/>
        <v/>
      </c>
      <c r="AA19" s="45" t="str">
        <f t="shared" si="4"/>
        <v/>
      </c>
      <c r="AB19" s="40" t="str">
        <f t="shared" si="5"/>
        <v>Not modelled</v>
      </c>
      <c r="AC19" s="41" t="str">
        <f t="shared" si="6"/>
        <v/>
      </c>
      <c r="AD19" s="42" t="str">
        <f t="shared" si="7"/>
        <v/>
      </c>
      <c r="AE19" s="43" t="str">
        <f t="shared" si="8"/>
        <v>Not modelled</v>
      </c>
    </row>
    <row r="20" spans="1:31" ht="26.45" customHeight="1">
      <c r="A20" s="25" t="s">
        <v>195</v>
      </c>
      <c r="B20" s="18" t="s">
        <v>196</v>
      </c>
      <c r="C20" s="19"/>
      <c r="D20" s="19">
        <v>1</v>
      </c>
      <c r="E20" s="20">
        <v>180</v>
      </c>
      <c r="F20" s="20">
        <v>195</v>
      </c>
      <c r="G20" s="20">
        <v>200</v>
      </c>
      <c r="H20" s="21">
        <v>0.5</v>
      </c>
      <c r="I20" s="21">
        <v>6</v>
      </c>
      <c r="J20" s="21">
        <v>5</v>
      </c>
      <c r="K20" s="19">
        <v>4</v>
      </c>
      <c r="L20" s="19">
        <v>4</v>
      </c>
      <c r="M20" s="18" t="s">
        <v>197</v>
      </c>
      <c r="N20" s="28" t="s">
        <v>198</v>
      </c>
      <c r="O20" s="18" t="s">
        <v>148</v>
      </c>
      <c r="P20" s="22">
        <f>C20*(E20+G20+Assumptions!$B$13)</f>
        <v>0</v>
      </c>
      <c r="Q20" s="22">
        <f>D20*Assumptions!$B$6*(Assumptions!$B$7+Assumptions!$B$8)+Assumptions!$B$5*(D20*Assumptions!$B$6*(Assumptions!$B$9+Assumptions!$B$10)+Assumptions!$B$12)</f>
        <v>1125.8</v>
      </c>
      <c r="R20" s="22">
        <f>C20*E20*Assumptions!$B$19/100*Assumptions!$B$5+C20*IF(I20&lt;=Assumptions!$B$5,Assumptions!$B$20,0)</f>
        <v>0</v>
      </c>
      <c r="S20" s="22">
        <f>C20*Assumptions!$B$11*12*Assumptions!$B$5</f>
        <v>0</v>
      </c>
      <c r="T20" s="45" t="str">
        <f t="shared" si="0"/>
        <v/>
      </c>
      <c r="U20" s="45" t="str">
        <f t="shared" si="1"/>
        <v/>
      </c>
      <c r="V20" s="45" t="str">
        <f>IF(COUNT(C20)=0,"",C20*(F20+G20+Assumptions!$B$18+Assumptions!$B$15+Assumptions!$B$14*12*Assumptions!$B$5))</f>
        <v/>
      </c>
      <c r="W20" s="45" t="str">
        <f>IF(COUNT(C20)=0,"",ROUND(C20*MAX(0,H20-Assumptions!$B$16)*12*Assumptions!$B$5*Assumptions!$B$17,2))</f>
        <v/>
      </c>
      <c r="X20" s="45" t="str">
        <f>IF(COUNT(C20)=0,"",C20*F20*Assumptions!$B$19/100*Assumptions!$B$5+C20*IF(J20&lt;=Assumptions!$B$5,Assumptions!$B$20,0))</f>
        <v/>
      </c>
      <c r="Y20" s="45" t="str">
        <f t="shared" si="2"/>
        <v/>
      </c>
      <c r="Z20" s="45" t="str">
        <f t="shared" si="3"/>
        <v/>
      </c>
      <c r="AA20" s="45" t="str">
        <f t="shared" si="4"/>
        <v/>
      </c>
      <c r="AB20" s="40" t="str">
        <f t="shared" si="5"/>
        <v>Not modelled</v>
      </c>
      <c r="AC20" s="41" t="str">
        <f t="shared" si="6"/>
        <v/>
      </c>
      <c r="AD20" s="42" t="str">
        <f t="shared" si="7"/>
        <v/>
      </c>
      <c r="AE20" s="43" t="str">
        <f t="shared" si="8"/>
        <v>Not modelled</v>
      </c>
    </row>
    <row r="21" spans="1:31" ht="42" customHeight="1">
      <c r="A21" t="s">
        <v>405</v>
      </c>
      <c r="B21" t="s">
        <v>406</v>
      </c>
      <c r="C21" s="94"/>
      <c r="D21" s="94">
        <v>1</v>
      </c>
      <c r="E21" s="96">
        <v>220</v>
      </c>
      <c r="F21" s="96">
        <v>250</v>
      </c>
      <c r="G21" s="96">
        <v>120</v>
      </c>
      <c r="H21" s="97">
        <v>3</v>
      </c>
      <c r="I21" s="97">
        <v>3</v>
      </c>
      <c r="J21" s="97">
        <v>3</v>
      </c>
      <c r="K21" s="98">
        <v>4</v>
      </c>
      <c r="L21" s="98">
        <v>4</v>
      </c>
      <c r="M21" t="s">
        <v>407</v>
      </c>
      <c r="N21" t="s">
        <v>408</v>
      </c>
      <c r="O21" t="s">
        <v>139</v>
      </c>
      <c r="P21" s="99">
        <f>C21*(E21+G21+Assumptions!$B$13)</f>
        <v>0</v>
      </c>
      <c r="Q21" s="99">
        <f>D21*Assumptions!$B$6*(Assumptions!$B$7+Assumptions!$B$8)+Assumptions!$B$5*(D21*Assumptions!$B$6*(Assumptions!$B$9+Assumptions!$B$10)+Assumptions!$B$12)</f>
        <v>1125.8</v>
      </c>
      <c r="R21" s="99">
        <f>C21*E21*Assumptions!$B$19/100*Assumptions!$B$5+C21*IF(I21&lt;=Assumptions!$B$5,Assumptions!$B$20,0)</f>
        <v>0</v>
      </c>
      <c r="S21" s="99">
        <f>C21*Assumptions!$B$11*12*Assumptions!$B$5</f>
        <v>0</v>
      </c>
      <c r="T21" s="99" t="str">
        <f t="shared" si="0"/>
        <v/>
      </c>
      <c r="U21" s="99" t="str">
        <f t="shared" si="1"/>
        <v/>
      </c>
      <c r="V21" s="99" t="str">
        <f>IF(COUNT(C21)=0,"",C21*(F21+G21+Assumptions!$B$18+Assumptions!$B$15+Assumptions!$B$14*12*Assumptions!$B$5))</f>
        <v/>
      </c>
      <c r="W21" s="99" t="str">
        <f>IF(COUNT(C21)=0,"",ROUND(C21*MAX(0,H21-Assumptions!$B$16)*12*Assumptions!$B$5*Assumptions!$B$17,2))</f>
        <v/>
      </c>
      <c r="X21" s="99" t="str">
        <f>IF(COUNT(C21)=0,"",C21*F21*Assumptions!$B$19/100*Assumptions!$B$5+C21*IF(J21&lt;=Assumptions!$B$5,Assumptions!$B$20,0))</f>
        <v/>
      </c>
      <c r="Y21" s="99" t="str">
        <f t="shared" si="2"/>
        <v/>
      </c>
      <c r="Z21" s="99" t="str">
        <f t="shared" si="3"/>
        <v/>
      </c>
      <c r="AA21" s="99" t="str">
        <f t="shared" si="4"/>
        <v/>
      </c>
      <c r="AB21" s="95" t="str">
        <f t="shared" si="5"/>
        <v>Not modelled</v>
      </c>
      <c r="AC21" s="100" t="str">
        <f t="shared" si="6"/>
        <v/>
      </c>
      <c r="AD21" s="95" t="str">
        <f t="shared" si="7"/>
        <v/>
      </c>
      <c r="AE21" s="95" t="str">
        <f t="shared" si="8"/>
        <v>Not modelled</v>
      </c>
    </row>
  </sheetData>
  <mergeCells count="2">
    <mergeCell ref="A1:AE1"/>
    <mergeCell ref="A2:AE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showGridLines="0" workbookViewId="0">
      <selection sqref="A1:F1"/>
    </sheetView>
  </sheetViews>
  <sheetFormatPr defaultRowHeight="14.25"/>
  <cols>
    <col min="1" max="1" width="27" customWidth="1"/>
    <col min="2" max="2" width="46" customWidth="1"/>
    <col min="3" max="3" width="58" customWidth="1"/>
    <col min="4" max="5" width="17" customWidth="1"/>
    <col min="6" max="6" width="38" customWidth="1"/>
  </cols>
  <sheetData>
    <row r="1" spans="1:6" ht="25.9" customHeight="1">
      <c r="A1" s="116" t="s">
        <v>265</v>
      </c>
      <c r="B1" s="116" t="s">
        <v>265</v>
      </c>
      <c r="C1" s="116" t="s">
        <v>265</v>
      </c>
      <c r="D1" s="116" t="s">
        <v>265</v>
      </c>
      <c r="E1" s="116" t="s">
        <v>265</v>
      </c>
      <c r="F1" s="116" t="s">
        <v>265</v>
      </c>
    </row>
    <row r="2" spans="1:6" ht="25.9" customHeight="1">
      <c r="A2" s="117" t="s">
        <v>266</v>
      </c>
      <c r="B2" s="117" t="s">
        <v>266</v>
      </c>
      <c r="C2" s="117" t="s">
        <v>266</v>
      </c>
      <c r="D2" s="117" t="s">
        <v>266</v>
      </c>
      <c r="E2" s="117" t="s">
        <v>266</v>
      </c>
      <c r="F2" s="117" t="s">
        <v>266</v>
      </c>
    </row>
    <row r="4" spans="1:6" ht="15" customHeight="1">
      <c r="A4" s="1" t="s">
        <v>267</v>
      </c>
      <c r="B4" s="2" t="s">
        <v>268</v>
      </c>
      <c r="C4" s="2" t="s">
        <v>269</v>
      </c>
      <c r="D4" s="2" t="s">
        <v>270</v>
      </c>
      <c r="E4" s="2" t="s">
        <v>271</v>
      </c>
      <c r="F4" s="3" t="s">
        <v>272</v>
      </c>
    </row>
    <row r="5" spans="1:6" ht="28.5">
      <c r="A5" s="24" t="s">
        <v>273</v>
      </c>
      <c r="B5" s="13" t="s">
        <v>274</v>
      </c>
      <c r="C5" s="32"/>
      <c r="D5" s="29">
        <f>DATE(2026,7,31)</f>
        <v>46234</v>
      </c>
      <c r="E5" s="13" t="s">
        <v>275</v>
      </c>
      <c r="F5" s="13" t="s">
        <v>276</v>
      </c>
    </row>
    <row r="6" spans="1:6" ht="15">
      <c r="A6" s="25" t="s">
        <v>277</v>
      </c>
      <c r="B6" s="18" t="s">
        <v>278</v>
      </c>
      <c r="C6" s="33"/>
      <c r="D6" s="30">
        <f>DATE(2026,7,31)</f>
        <v>46234</v>
      </c>
      <c r="E6" s="18" t="s">
        <v>275</v>
      </c>
      <c r="F6" s="18" t="s">
        <v>279</v>
      </c>
    </row>
    <row r="7" spans="1:6" ht="26.45" customHeight="1">
      <c r="A7" s="25" t="s">
        <v>280</v>
      </c>
      <c r="B7" s="18" t="s">
        <v>281</v>
      </c>
      <c r="C7" s="33" t="s">
        <v>85</v>
      </c>
      <c r="D7" s="30">
        <v>46230</v>
      </c>
      <c r="E7" s="18" t="s">
        <v>282</v>
      </c>
      <c r="F7" s="18" t="s">
        <v>283</v>
      </c>
    </row>
    <row r="8" spans="1:6" ht="26.45" customHeight="1">
      <c r="A8" s="25" t="s">
        <v>284</v>
      </c>
      <c r="B8" s="18" t="s">
        <v>285</v>
      </c>
      <c r="C8" s="33" t="s">
        <v>286</v>
      </c>
      <c r="D8" s="30">
        <v>46230</v>
      </c>
      <c r="E8" s="18" t="s">
        <v>287</v>
      </c>
      <c r="F8" s="18" t="s">
        <v>288</v>
      </c>
    </row>
    <row r="9" spans="1:6" ht="26.45" customHeight="1">
      <c r="A9" s="25" t="s">
        <v>289</v>
      </c>
      <c r="B9" s="18" t="s">
        <v>290</v>
      </c>
      <c r="C9" s="33" t="s">
        <v>291</v>
      </c>
      <c r="D9" s="30">
        <v>46230</v>
      </c>
      <c r="E9" s="18" t="s">
        <v>287</v>
      </c>
      <c r="F9" s="18" t="s">
        <v>292</v>
      </c>
    </row>
    <row r="10" spans="1:6" ht="26.45" customHeight="1">
      <c r="A10" s="25" t="s">
        <v>293</v>
      </c>
      <c r="B10" s="18" t="s">
        <v>294</v>
      </c>
      <c r="C10" s="33" t="s">
        <v>295</v>
      </c>
      <c r="D10" s="30">
        <v>46230</v>
      </c>
      <c r="E10" s="18" t="s">
        <v>287</v>
      </c>
      <c r="F10" s="18" t="s">
        <v>296</v>
      </c>
    </row>
    <row r="11" spans="1:6" ht="26.45" customHeight="1">
      <c r="A11" s="25" t="s">
        <v>297</v>
      </c>
      <c r="B11" s="18" t="s">
        <v>298</v>
      </c>
      <c r="C11" s="33" t="s">
        <v>299</v>
      </c>
      <c r="D11" s="30">
        <v>46230</v>
      </c>
      <c r="E11" s="18" t="s">
        <v>287</v>
      </c>
      <c r="F11" s="18" t="s">
        <v>300</v>
      </c>
    </row>
    <row r="12" spans="1:6" ht="26.45" customHeight="1">
      <c r="A12" s="25" t="s">
        <v>301</v>
      </c>
      <c r="B12" s="18" t="s">
        <v>302</v>
      </c>
      <c r="C12" s="33" t="s">
        <v>303</v>
      </c>
      <c r="D12" s="30">
        <v>46230</v>
      </c>
      <c r="E12" s="18" t="s">
        <v>304</v>
      </c>
      <c r="F12" s="18" t="s">
        <v>305</v>
      </c>
    </row>
    <row r="13" spans="1:6" ht="26.45" customHeight="1">
      <c r="A13" s="25" t="s">
        <v>306</v>
      </c>
      <c r="B13" s="18" t="s">
        <v>307</v>
      </c>
      <c r="C13" s="33" t="s">
        <v>308</v>
      </c>
      <c r="D13" s="30">
        <v>46230</v>
      </c>
      <c r="E13" s="18" t="s">
        <v>309</v>
      </c>
      <c r="F13" s="18" t="s">
        <v>310</v>
      </c>
    </row>
    <row r="14" spans="1:6" ht="15" customHeight="1">
      <c r="A14" s="25" t="s">
        <v>311</v>
      </c>
      <c r="B14" s="18" t="s">
        <v>312</v>
      </c>
      <c r="C14" s="33" t="s">
        <v>313</v>
      </c>
      <c r="D14" s="30">
        <v>46230</v>
      </c>
      <c r="E14" s="18" t="s">
        <v>314</v>
      </c>
      <c r="F14" s="18" t="s">
        <v>315</v>
      </c>
    </row>
    <row r="15" spans="1:6" ht="15" customHeight="1">
      <c r="A15" s="25" t="s">
        <v>316</v>
      </c>
      <c r="B15" s="18" t="s">
        <v>317</v>
      </c>
      <c r="C15" s="33" t="s">
        <v>40</v>
      </c>
      <c r="D15" s="30">
        <v>46230</v>
      </c>
      <c r="E15" s="18" t="s">
        <v>318</v>
      </c>
      <c r="F15" s="18" t="s">
        <v>319</v>
      </c>
    </row>
    <row r="16" spans="1:6" ht="26.45" customHeight="1">
      <c r="A16" s="25" t="s">
        <v>320</v>
      </c>
      <c r="B16" s="18" t="s">
        <v>321</v>
      </c>
      <c r="C16" s="33" t="s">
        <v>322</v>
      </c>
      <c r="D16" s="30">
        <v>46230</v>
      </c>
      <c r="E16" s="18" t="s">
        <v>314</v>
      </c>
      <c r="F16" s="18" t="s">
        <v>323</v>
      </c>
    </row>
    <row r="17" spans="1:6" ht="26.45" customHeight="1">
      <c r="A17" s="25" t="s">
        <v>324</v>
      </c>
      <c r="B17" s="18" t="s">
        <v>325</v>
      </c>
      <c r="C17" s="33" t="s">
        <v>54</v>
      </c>
      <c r="D17" s="30">
        <v>46230</v>
      </c>
      <c r="E17" s="18" t="s">
        <v>326</v>
      </c>
      <c r="F17" s="18" t="s">
        <v>327</v>
      </c>
    </row>
    <row r="18" spans="1:6" ht="39.6" customHeight="1">
      <c r="A18" s="26" t="s">
        <v>328</v>
      </c>
      <c r="B18" s="23" t="s">
        <v>329</v>
      </c>
      <c r="C18" s="34" t="s">
        <v>330</v>
      </c>
      <c r="D18" s="31">
        <v>46230</v>
      </c>
      <c r="E18" s="23" t="s">
        <v>304</v>
      </c>
      <c r="F18" s="23" t="s">
        <v>331</v>
      </c>
    </row>
    <row r="19" spans="1:6" ht="48" customHeight="1">
      <c r="A19" s="49" t="s">
        <v>332</v>
      </c>
      <c r="B19" s="49" t="s">
        <v>333</v>
      </c>
      <c r="C19" s="49" t="s">
        <v>334</v>
      </c>
      <c r="D19" s="88">
        <v>46234</v>
      </c>
      <c r="E19" s="49" t="s">
        <v>335</v>
      </c>
      <c r="F19" s="49" t="s">
        <v>336</v>
      </c>
    </row>
    <row r="20" spans="1:6" ht="48" customHeight="1">
      <c r="A20" s="51" t="s">
        <v>337</v>
      </c>
      <c r="B20" s="51" t="s">
        <v>338</v>
      </c>
      <c r="C20" s="51" t="s">
        <v>339</v>
      </c>
      <c r="D20" s="89">
        <v>46234</v>
      </c>
      <c r="E20" s="51" t="s">
        <v>340</v>
      </c>
      <c r="F20" s="51" t="s">
        <v>341</v>
      </c>
    </row>
    <row r="21" spans="1:6" ht="72" customHeight="1">
      <c r="A21" s="4" t="s">
        <v>416</v>
      </c>
      <c r="B21" s="4" t="s">
        <v>417</v>
      </c>
      <c r="C21" s="4" t="s">
        <v>418</v>
      </c>
      <c r="D21" s="113">
        <v>46234</v>
      </c>
      <c r="E21" s="4" t="s">
        <v>419</v>
      </c>
      <c r="F21" s="4" t="s">
        <v>420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"/>
  <sheetViews>
    <sheetView showGridLines="0" tabSelected="1" topLeftCell="A6" zoomScale="85" zoomScaleNormal="85" workbookViewId="0">
      <selection activeCell="D20" sqref="D20"/>
    </sheetView>
  </sheetViews>
  <sheetFormatPr defaultRowHeight="14.25"/>
  <cols>
    <col min="1" max="1" width="30" customWidth="1"/>
    <col min="2" max="2" width="24" customWidth="1"/>
    <col min="3" max="3" width="10" customWidth="1"/>
    <col min="4" max="4" width="9" customWidth="1"/>
    <col min="5" max="5" width="14" customWidth="1"/>
    <col min="6" max="6" width="18" customWidth="1"/>
    <col min="7" max="7" width="14" customWidth="1"/>
    <col min="8" max="8" width="16" customWidth="1"/>
    <col min="9" max="9" width="34" customWidth="1"/>
    <col min="10" max="10" width="38" customWidth="1"/>
    <col min="11" max="11" width="12" customWidth="1"/>
    <col min="12" max="13" width="16" customWidth="1"/>
    <col min="14" max="14" width="23" customWidth="1"/>
    <col min="15" max="16" width="16" customWidth="1"/>
  </cols>
  <sheetData>
    <row r="1" spans="1:16" ht="30" customHeight="1">
      <c r="A1" s="118" t="s">
        <v>342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</row>
    <row r="2" spans="1:16" ht="30" customHeight="1">
      <c r="A2" s="134" t="s">
        <v>343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</row>
    <row r="4" spans="1:16" ht="48" customHeight="1">
      <c r="A4" s="46" t="s">
        <v>10</v>
      </c>
      <c r="B4" s="47" t="s">
        <v>108</v>
      </c>
      <c r="C4" s="47" t="s">
        <v>109</v>
      </c>
      <c r="D4" s="47" t="s">
        <v>110</v>
      </c>
      <c r="E4" s="47" t="s">
        <v>344</v>
      </c>
      <c r="F4" s="47" t="s">
        <v>345</v>
      </c>
      <c r="G4" s="47" t="s">
        <v>346</v>
      </c>
      <c r="H4" s="47" t="s">
        <v>347</v>
      </c>
      <c r="I4" s="47" t="s">
        <v>119</v>
      </c>
      <c r="J4" s="47" t="s">
        <v>348</v>
      </c>
      <c r="K4" s="47" t="s">
        <v>19</v>
      </c>
      <c r="L4" s="47" t="s">
        <v>349</v>
      </c>
      <c r="M4" s="47" t="s">
        <v>350</v>
      </c>
      <c r="N4" s="47" t="s">
        <v>351</v>
      </c>
      <c r="O4" s="47" t="s">
        <v>352</v>
      </c>
      <c r="P4" s="48" t="s">
        <v>16</v>
      </c>
    </row>
    <row r="5" spans="1:16" ht="42" customHeight="1">
      <c r="A5" s="70" t="str">
        <f>'Category Model'!A5</f>
        <v>IAQ sensors</v>
      </c>
      <c r="B5" s="52" t="str">
        <f>'Category Model'!B5</f>
        <v>Indoor multi-site</v>
      </c>
      <c r="C5" s="52">
        <f>'Category Model'!C5</f>
        <v>1069</v>
      </c>
      <c r="D5" s="52">
        <f>'Category Model'!D5</f>
        <v>1</v>
      </c>
      <c r="E5" s="58">
        <v>190</v>
      </c>
      <c r="F5" s="58">
        <v>50</v>
      </c>
      <c r="G5" s="61">
        <v>4</v>
      </c>
      <c r="H5" s="64">
        <v>5</v>
      </c>
      <c r="I5" s="55" t="s">
        <v>353</v>
      </c>
      <c r="J5" s="55" t="s">
        <v>354</v>
      </c>
      <c r="K5" s="55" t="s">
        <v>156</v>
      </c>
      <c r="L5" s="67">
        <f>IF(COUNT('Category Model'!C5)=0,"",C5*(E5+F5+Assumptions!$B$25))</f>
        <v>277940</v>
      </c>
      <c r="M5" s="67">
        <f>IF(COUNT('Category Model'!C5)=0,"",D5*(Assumptions!$B$22+Assumptions!$B$23))</f>
        <v>0</v>
      </c>
      <c r="N5" s="67">
        <f>IF(COUNT('Category Model'!C5)=0,"",ROUND(C5*G5/1000*8760*Assumptions!$B$26/Assumptions!$B$27*Assumptions!$B$5+D5*Assumptions!$B$24*Assumptions!$B$5+C5*E5*Assumptions!$B$28/100*Assumptions!$B$5,2))</f>
        <v>58369.18</v>
      </c>
      <c r="O5" s="67">
        <f>IF(COUNT('Category Model'!C5)=0,"",ROUND(SUM(L5:N5),2))</f>
        <v>336309.18</v>
      </c>
      <c r="P5" s="67">
        <f>IF(COUNT('Category Model'!C5)=0,"",ROUND(O5/C5,2))</f>
        <v>314.60000000000002</v>
      </c>
    </row>
    <row r="6" spans="1:16" ht="42" customHeight="1">
      <c r="A6" s="71" t="str">
        <f>'Category Model'!A6</f>
        <v>Parking bay sensors</v>
      </c>
      <c r="B6" s="53" t="str">
        <f>'Category Model'!B6</f>
        <v>Outdoor campus / street</v>
      </c>
      <c r="C6" s="53">
        <f>'Category Model'!C6</f>
        <v>0</v>
      </c>
      <c r="D6" s="53">
        <f>'Category Model'!D6</f>
        <v>1</v>
      </c>
      <c r="E6" s="59">
        <v>160</v>
      </c>
      <c r="F6" s="59">
        <v>350</v>
      </c>
      <c r="G6" s="62">
        <v>3</v>
      </c>
      <c r="H6" s="65">
        <v>2</v>
      </c>
      <c r="I6" s="56" t="s">
        <v>355</v>
      </c>
      <c r="J6" s="56" t="s">
        <v>356</v>
      </c>
      <c r="K6" s="56" t="s">
        <v>148</v>
      </c>
      <c r="L6" s="68" t="str">
        <f>IF(COUNT('Category Model'!C6)=0,"",C6*(E6+F6+Assumptions!$B$25))</f>
        <v/>
      </c>
      <c r="M6" s="68" t="str">
        <f>IF(COUNT('Category Model'!C6)=0,"",D6*(Assumptions!$B$22+Assumptions!$B$23))</f>
        <v/>
      </c>
      <c r="N6" s="68" t="str">
        <f>IF(COUNT('Category Model'!C6)=0,"",ROUND(C6*G6/1000*8760*Assumptions!$B$26/Assumptions!$B$27*Assumptions!$B$5+D6*Assumptions!$B$24*Assumptions!$B$5+C6*E6*Assumptions!$B$28/100*Assumptions!$B$5,2))</f>
        <v/>
      </c>
      <c r="O6" s="68" t="str">
        <f>IF(COUNT('Category Model'!C6)=0,"",ROUND(SUM(L6:N6),2))</f>
        <v/>
      </c>
      <c r="P6" s="68" t="str">
        <f>IF(COUNT('Category Model'!C6)=0,"",ROUND(O6/C6,2))</f>
        <v/>
      </c>
    </row>
    <row r="7" spans="1:16" ht="42" customHeight="1">
      <c r="A7" s="71" t="str">
        <f>'Category Model'!A7</f>
        <v>Room displays</v>
      </c>
      <c r="B7" s="53" t="str">
        <f>'Category Model'!B7</f>
        <v>Indoor rooms</v>
      </c>
      <c r="C7" s="53">
        <f>'Category Model'!C7</f>
        <v>0</v>
      </c>
      <c r="D7" s="53">
        <f>'Category Model'!D7</f>
        <v>1</v>
      </c>
      <c r="E7" s="59">
        <v>240</v>
      </c>
      <c r="F7" s="59">
        <v>160</v>
      </c>
      <c r="G7" s="62">
        <v>12</v>
      </c>
      <c r="H7" s="65">
        <v>5</v>
      </c>
      <c r="I7" s="56" t="s">
        <v>357</v>
      </c>
      <c r="J7" s="56" t="s">
        <v>358</v>
      </c>
      <c r="K7" s="56" t="s">
        <v>156</v>
      </c>
      <c r="L7" s="68" t="str">
        <f>IF(COUNT('Category Model'!C7)=0,"",C7*(E7+F7+Assumptions!$B$25))</f>
        <v/>
      </c>
      <c r="M7" s="68" t="str">
        <f>IF(COUNT('Category Model'!C7)=0,"",D7*(Assumptions!$B$22+Assumptions!$B$23))</f>
        <v/>
      </c>
      <c r="N7" s="68" t="str">
        <f>IF(COUNT('Category Model'!C7)=0,"",ROUND(C7*G7/1000*8760*Assumptions!$B$26/Assumptions!$B$27*Assumptions!$B$5+D7*Assumptions!$B$24*Assumptions!$B$5+C7*E7*Assumptions!$B$28/100*Assumptions!$B$5,2))</f>
        <v/>
      </c>
      <c r="O7" s="68" t="str">
        <f>IF(COUNT('Category Model'!C7)=0,"",ROUND(SUM(L7:N7),2))</f>
        <v/>
      </c>
      <c r="P7" s="68" t="str">
        <f>IF(COUNT('Category Model'!C7)=0,"",ROUND(O7/C7,2))</f>
        <v/>
      </c>
    </row>
    <row r="8" spans="1:16" ht="42" customHeight="1">
      <c r="A8" s="71" t="str">
        <f>'Category Model'!A8</f>
        <v>Lux sensors</v>
      </c>
      <c r="B8" s="53" t="str">
        <f>'Category Model'!B8</f>
        <v>Indoor multi-site</v>
      </c>
      <c r="C8" s="53">
        <f>'Category Model'!C8</f>
        <v>0</v>
      </c>
      <c r="D8" s="53">
        <f>'Category Model'!D8</f>
        <v>1</v>
      </c>
      <c r="E8" s="59">
        <v>85</v>
      </c>
      <c r="F8" s="59">
        <v>150</v>
      </c>
      <c r="G8" s="62">
        <v>2</v>
      </c>
      <c r="H8" s="65">
        <v>5</v>
      </c>
      <c r="I8" s="56" t="s">
        <v>359</v>
      </c>
      <c r="J8" s="56" t="s">
        <v>360</v>
      </c>
      <c r="K8" s="56" t="s">
        <v>156</v>
      </c>
      <c r="L8" s="68" t="str">
        <f>IF(COUNT('Category Model'!C8)=0,"",C8*(E8+F8+Assumptions!$B$25))</f>
        <v/>
      </c>
      <c r="M8" s="68" t="str">
        <f>IF(COUNT('Category Model'!C8)=0,"",D8*(Assumptions!$B$22+Assumptions!$B$23))</f>
        <v/>
      </c>
      <c r="N8" s="68" t="str">
        <f>IF(COUNT('Category Model'!C8)=0,"",ROUND(C8*G8/1000*8760*Assumptions!$B$26/Assumptions!$B$27*Assumptions!$B$5+D8*Assumptions!$B$24*Assumptions!$B$5+C8*E8*Assumptions!$B$28/100*Assumptions!$B$5,2))</f>
        <v/>
      </c>
      <c r="O8" s="68" t="str">
        <f>IF(COUNT('Category Model'!C8)=0,"",ROUND(SUM(L8:N8),2))</f>
        <v/>
      </c>
      <c r="P8" s="68" t="str">
        <f>IF(COUNT('Category Model'!C8)=0,"",ROUND(O8/C8,2))</f>
        <v/>
      </c>
    </row>
    <row r="9" spans="1:16" ht="42" customHeight="1">
      <c r="A9" s="71" t="str">
        <f>'Category Model'!A9</f>
        <v>Metering — electricity and water</v>
      </c>
      <c r="B9" s="53" t="str">
        <f>'Category Model'!B9</f>
        <v>Plantrooms / meters</v>
      </c>
      <c r="C9" s="53">
        <f>'Category Model'!C9</f>
        <v>0</v>
      </c>
      <c r="D9" s="53">
        <f>'Category Model'!D9</f>
        <v>1</v>
      </c>
      <c r="E9" s="59">
        <v>130</v>
      </c>
      <c r="F9" s="59">
        <v>220</v>
      </c>
      <c r="G9" s="62">
        <v>4</v>
      </c>
      <c r="H9" s="65">
        <v>4</v>
      </c>
      <c r="I9" s="56" t="s">
        <v>361</v>
      </c>
      <c r="J9" s="56" t="s">
        <v>362</v>
      </c>
      <c r="K9" s="56" t="s">
        <v>139</v>
      </c>
      <c r="L9" s="68" t="str">
        <f>IF(COUNT('Category Model'!C9)=0,"",C9*(E9+F9+Assumptions!$B$25))</f>
        <v/>
      </c>
      <c r="M9" s="68" t="str">
        <f>IF(COUNT('Category Model'!C9)=0,"",D9*(Assumptions!$B$22+Assumptions!$B$23))</f>
        <v/>
      </c>
      <c r="N9" s="68" t="str">
        <f>IF(COUNT('Category Model'!C9)=0,"",ROUND(C9*G9/1000*8760*Assumptions!$B$26/Assumptions!$B$27*Assumptions!$B$5+D9*Assumptions!$B$24*Assumptions!$B$5+C9*E9*Assumptions!$B$28/100*Assumptions!$B$5,2))</f>
        <v/>
      </c>
      <c r="O9" s="68" t="str">
        <f>IF(COUNT('Category Model'!C9)=0,"",ROUND(SUM(L9:N9),2))</f>
        <v/>
      </c>
      <c r="P9" s="68" t="str">
        <f>IF(COUNT('Category Model'!C9)=0,"",ROUND(O9/C9,2))</f>
        <v/>
      </c>
    </row>
    <row r="10" spans="1:16" ht="42" customHeight="1">
      <c r="A10" s="71" t="str">
        <f>'Category Model'!A10</f>
        <v>Fridge / process temperature</v>
      </c>
      <c r="B10" s="53" t="str">
        <f>'Category Model'!B10</f>
        <v>Indoor critical assets</v>
      </c>
      <c r="C10" s="53">
        <f>'Category Model'!C10</f>
        <v>0</v>
      </c>
      <c r="D10" s="53">
        <f>'Category Model'!D10</f>
        <v>1</v>
      </c>
      <c r="E10" s="59">
        <v>95</v>
      </c>
      <c r="F10" s="59">
        <v>180</v>
      </c>
      <c r="G10" s="62">
        <v>3</v>
      </c>
      <c r="H10" s="65">
        <v>4</v>
      </c>
      <c r="I10" s="56" t="s">
        <v>363</v>
      </c>
      <c r="J10" s="56" t="s">
        <v>364</v>
      </c>
      <c r="K10" s="56" t="s">
        <v>139</v>
      </c>
      <c r="L10" s="68" t="str">
        <f>IF(COUNT('Category Model'!C10)=0,"",C10*(E10+F10+Assumptions!$B$25))</f>
        <v/>
      </c>
      <c r="M10" s="68" t="str">
        <f>IF(COUNT('Category Model'!C10)=0,"",D10*(Assumptions!$B$22+Assumptions!$B$23))</f>
        <v/>
      </c>
      <c r="N10" s="68" t="str">
        <f>IF(COUNT('Category Model'!C10)=0,"",ROUND(C10*G10/1000*8760*Assumptions!$B$26/Assumptions!$B$27*Assumptions!$B$5+D10*Assumptions!$B$24*Assumptions!$B$5+C10*E10*Assumptions!$B$28/100*Assumptions!$B$5,2))</f>
        <v/>
      </c>
      <c r="O10" s="68" t="str">
        <f>IF(COUNT('Category Model'!C10)=0,"",ROUND(SUM(L10:N10),2))</f>
        <v/>
      </c>
      <c r="P10" s="68" t="str">
        <f>IF(COUNT('Category Model'!C10)=0,"",ROUND(O10/C10,2))</f>
        <v/>
      </c>
    </row>
    <row r="11" spans="1:16" ht="42" customHeight="1">
      <c r="A11" s="71" t="str">
        <f>'Category Model'!A11</f>
        <v>Waste water monitoring</v>
      </c>
      <c r="B11" s="53" t="str">
        <f>'Category Model'!B11</f>
        <v>Remote outdoor assets</v>
      </c>
      <c r="C11" s="53">
        <f>'Category Model'!C11</f>
        <v>0</v>
      </c>
      <c r="D11" s="53">
        <f>'Category Model'!D11</f>
        <v>1</v>
      </c>
      <c r="E11" s="59">
        <v>350</v>
      </c>
      <c r="F11" s="59">
        <v>600</v>
      </c>
      <c r="G11" s="62">
        <v>6</v>
      </c>
      <c r="H11" s="65">
        <v>2</v>
      </c>
      <c r="I11" s="56" t="s">
        <v>365</v>
      </c>
      <c r="J11" s="56" t="s">
        <v>366</v>
      </c>
      <c r="K11" s="56" t="s">
        <v>148</v>
      </c>
      <c r="L11" s="68" t="str">
        <f>IF(COUNT('Category Model'!C11)=0,"",C11*(E11+F11+Assumptions!$B$25))</f>
        <v/>
      </c>
      <c r="M11" s="68" t="str">
        <f>IF(COUNT('Category Model'!C11)=0,"",D11*(Assumptions!$B$22+Assumptions!$B$23))</f>
        <v/>
      </c>
      <c r="N11" s="68" t="str">
        <f>IF(COUNT('Category Model'!C11)=0,"",ROUND(C11*G11/1000*8760*Assumptions!$B$26/Assumptions!$B$27*Assumptions!$B$5+D11*Assumptions!$B$24*Assumptions!$B$5+C11*E11*Assumptions!$B$28/100*Assumptions!$B$5,2))</f>
        <v/>
      </c>
      <c r="O11" s="68" t="str">
        <f>IF(COUNT('Category Model'!C11)=0,"",ROUND(SUM(L11:N11),2))</f>
        <v/>
      </c>
      <c r="P11" s="68" t="str">
        <f>IF(COUNT('Category Model'!C11)=0,"",ROUND(O11/C11,2))</f>
        <v/>
      </c>
    </row>
    <row r="12" spans="1:16" ht="42" customHeight="1">
      <c r="A12" s="71" t="str">
        <f>'Category Model'!A12</f>
        <v>Water temperature</v>
      </c>
      <c r="B12" s="53" t="str">
        <f>'Category Model'!B12</f>
        <v>Remote / plantroom</v>
      </c>
      <c r="C12" s="53">
        <f>'Category Model'!C12</f>
        <v>0</v>
      </c>
      <c r="D12" s="53">
        <f>'Category Model'!D12</f>
        <v>1</v>
      </c>
      <c r="E12" s="59">
        <v>110</v>
      </c>
      <c r="F12" s="59">
        <v>250</v>
      </c>
      <c r="G12" s="62">
        <v>3</v>
      </c>
      <c r="H12" s="65">
        <v>3</v>
      </c>
      <c r="I12" s="56" t="s">
        <v>367</v>
      </c>
      <c r="J12" s="56" t="s">
        <v>368</v>
      </c>
      <c r="K12" s="56" t="s">
        <v>139</v>
      </c>
      <c r="L12" s="68" t="str">
        <f>IF(COUNT('Category Model'!C12)=0,"",C12*(E12+F12+Assumptions!$B$25))</f>
        <v/>
      </c>
      <c r="M12" s="68" t="str">
        <f>IF(COUNT('Category Model'!C12)=0,"",D12*(Assumptions!$B$22+Assumptions!$B$23))</f>
        <v/>
      </c>
      <c r="N12" s="68" t="str">
        <f>IF(COUNT('Category Model'!C12)=0,"",ROUND(C12*G12/1000*8760*Assumptions!$B$26/Assumptions!$B$27*Assumptions!$B$5+D12*Assumptions!$B$24*Assumptions!$B$5+C12*E12*Assumptions!$B$28/100*Assumptions!$B$5,2))</f>
        <v/>
      </c>
      <c r="O12" s="68" t="str">
        <f>IF(COUNT('Category Model'!C12)=0,"",ROUND(SUM(L12:N12),2))</f>
        <v/>
      </c>
      <c r="P12" s="68" t="str">
        <f>IF(COUNT('Category Model'!C12)=0,"",ROUND(O12/C12,2))</f>
        <v/>
      </c>
    </row>
    <row r="13" spans="1:16" ht="42" customHeight="1">
      <c r="A13" s="71" t="str">
        <f>'Category Model'!A13</f>
        <v>Water flow</v>
      </c>
      <c r="B13" s="53" t="str">
        <f>'Category Model'!B13</f>
        <v>Remote / plantroom</v>
      </c>
      <c r="C13" s="53">
        <f>'Category Model'!C13</f>
        <v>0</v>
      </c>
      <c r="D13" s="53">
        <f>'Category Model'!D13</f>
        <v>1</v>
      </c>
      <c r="E13" s="59">
        <v>140</v>
      </c>
      <c r="F13" s="59">
        <v>300</v>
      </c>
      <c r="G13" s="62">
        <v>4</v>
      </c>
      <c r="H13" s="65">
        <v>3</v>
      </c>
      <c r="I13" s="56" t="s">
        <v>369</v>
      </c>
      <c r="J13" s="56" t="s">
        <v>370</v>
      </c>
      <c r="K13" s="56" t="s">
        <v>139</v>
      </c>
      <c r="L13" s="68" t="str">
        <f>IF(COUNT('Category Model'!C13)=0,"",C13*(E13+F13+Assumptions!$B$25))</f>
        <v/>
      </c>
      <c r="M13" s="68" t="str">
        <f>IF(COUNT('Category Model'!C13)=0,"",D13*(Assumptions!$B$22+Assumptions!$B$23))</f>
        <v/>
      </c>
      <c r="N13" s="68" t="str">
        <f>IF(COUNT('Category Model'!C13)=0,"",ROUND(C13*G13/1000*8760*Assumptions!$B$26/Assumptions!$B$27*Assumptions!$B$5+D13*Assumptions!$B$24*Assumptions!$B$5+C13*E13*Assumptions!$B$28/100*Assumptions!$B$5,2))</f>
        <v/>
      </c>
      <c r="O13" s="68" t="str">
        <f>IF(COUNT('Category Model'!C13)=0,"",ROUND(SUM(L13:N13),2))</f>
        <v/>
      </c>
      <c r="P13" s="68" t="str">
        <f>IF(COUNT('Category Model'!C13)=0,"",ROUND(O13/C13,2))</f>
        <v/>
      </c>
    </row>
    <row r="14" spans="1:16" ht="42" customHeight="1">
      <c r="A14" s="71" t="str">
        <f>'Category Model'!A14</f>
        <v>Water leak detection</v>
      </c>
      <c r="B14" s="53" t="str">
        <f>'Category Model'!B14</f>
        <v>Indoor dense estate</v>
      </c>
      <c r="C14" s="53">
        <f>'Category Model'!C14</f>
        <v>0</v>
      </c>
      <c r="D14" s="53">
        <f>'Category Model'!D14</f>
        <v>1</v>
      </c>
      <c r="E14" s="59">
        <v>90</v>
      </c>
      <c r="F14" s="59">
        <v>180</v>
      </c>
      <c r="G14" s="62">
        <v>2</v>
      </c>
      <c r="H14" s="65">
        <v>4</v>
      </c>
      <c r="I14" s="56" t="s">
        <v>371</v>
      </c>
      <c r="J14" s="56" t="s">
        <v>372</v>
      </c>
      <c r="K14" s="56" t="s">
        <v>139</v>
      </c>
      <c r="L14" s="68" t="str">
        <f>IF(COUNT('Category Model'!C14)=0,"",C14*(E14+F14+Assumptions!$B$25))</f>
        <v/>
      </c>
      <c r="M14" s="68" t="str">
        <f>IF(COUNT('Category Model'!C14)=0,"",D14*(Assumptions!$B$22+Assumptions!$B$23))</f>
        <v/>
      </c>
      <c r="N14" s="68" t="str">
        <f>IF(COUNT('Category Model'!C14)=0,"",ROUND(C14*G14/1000*8760*Assumptions!$B$26/Assumptions!$B$27*Assumptions!$B$5+D14*Assumptions!$B$24*Assumptions!$B$5+C14*E14*Assumptions!$B$28/100*Assumptions!$B$5,2))</f>
        <v/>
      </c>
      <c r="O14" s="68" t="str">
        <f>IF(COUNT('Category Model'!C14)=0,"",ROUND(SUM(L14:N14),2))</f>
        <v/>
      </c>
      <c r="P14" s="68" t="str">
        <f>IF(COUNT('Category Model'!C14)=0,"",ROUND(O14/C14,2))</f>
        <v/>
      </c>
    </row>
    <row r="15" spans="1:16" ht="42" customHeight="1">
      <c r="A15" s="71" t="str">
        <f>'Category Model'!A15</f>
        <v>Acoustic sensors</v>
      </c>
      <c r="B15" s="53" t="str">
        <f>'Category Model'!B15</f>
        <v>Water / machinery</v>
      </c>
      <c r="C15" s="53">
        <f>'Category Model'!C15</f>
        <v>0</v>
      </c>
      <c r="D15" s="53">
        <f>'Category Model'!D15</f>
        <v>1</v>
      </c>
      <c r="E15" s="59">
        <v>190</v>
      </c>
      <c r="F15" s="59">
        <v>250</v>
      </c>
      <c r="G15" s="62">
        <v>5</v>
      </c>
      <c r="H15" s="65">
        <v>4</v>
      </c>
      <c r="I15" s="56" t="s">
        <v>373</v>
      </c>
      <c r="J15" s="56" t="s">
        <v>374</v>
      </c>
      <c r="K15" s="56" t="s">
        <v>156</v>
      </c>
      <c r="L15" s="68" t="str">
        <f>IF(COUNT('Category Model'!C15)=0,"",C15*(E15+F15+Assumptions!$B$25))</f>
        <v/>
      </c>
      <c r="M15" s="68" t="str">
        <f>IF(COUNT('Category Model'!C15)=0,"",D15*(Assumptions!$B$22+Assumptions!$B$23))</f>
        <v/>
      </c>
      <c r="N15" s="68" t="str">
        <f>IF(COUNT('Category Model'!C15)=0,"",ROUND(C15*G15/1000*8760*Assumptions!$B$26/Assumptions!$B$27*Assumptions!$B$5+D15*Assumptions!$B$24*Assumptions!$B$5+C15*E15*Assumptions!$B$28/100*Assumptions!$B$5,2))</f>
        <v/>
      </c>
      <c r="O15" s="68" t="str">
        <f>IF(COUNT('Category Model'!C15)=0,"",ROUND(SUM(L15:N15),2))</f>
        <v/>
      </c>
      <c r="P15" s="68" t="str">
        <f>IF(COUNT('Category Model'!C15)=0,"",ROUND(O15/C15,2))</f>
        <v/>
      </c>
    </row>
    <row r="16" spans="1:16" ht="42" customHeight="1">
      <c r="A16" s="71" t="str">
        <f>'Category Model'!A16</f>
        <v>Bin fill level — ultrasonic</v>
      </c>
      <c r="B16" s="53" t="str">
        <f>'Category Model'!B16</f>
        <v>Distributed bins</v>
      </c>
      <c r="C16" s="53">
        <f>'Category Model'!C16</f>
        <v>0</v>
      </c>
      <c r="D16" s="53">
        <f>'Category Model'!D16</f>
        <v>1</v>
      </c>
      <c r="E16" s="59">
        <v>180</v>
      </c>
      <c r="F16" s="59">
        <v>500</v>
      </c>
      <c r="G16" s="62">
        <v>4</v>
      </c>
      <c r="H16" s="65">
        <v>2</v>
      </c>
      <c r="I16" s="56" t="s">
        <v>375</v>
      </c>
      <c r="J16" s="56" t="s">
        <v>376</v>
      </c>
      <c r="K16" s="56" t="s">
        <v>148</v>
      </c>
      <c r="L16" s="68" t="str">
        <f>IF(COUNT('Category Model'!C16)=0,"",C16*(E16+F16+Assumptions!$B$25))</f>
        <v/>
      </c>
      <c r="M16" s="68" t="str">
        <f>IF(COUNT('Category Model'!C16)=0,"",D16*(Assumptions!$B$22+Assumptions!$B$23))</f>
        <v/>
      </c>
      <c r="N16" s="68" t="str">
        <f>IF(COUNT('Category Model'!C16)=0,"",ROUND(C16*G16/1000*8760*Assumptions!$B$26/Assumptions!$B$27*Assumptions!$B$5+D16*Assumptions!$B$24*Assumptions!$B$5+C16*E16*Assumptions!$B$28/100*Assumptions!$B$5,2))</f>
        <v/>
      </c>
      <c r="O16" s="68" t="str">
        <f>IF(COUNT('Category Model'!C16)=0,"",ROUND(SUM(L16:N16),2))</f>
        <v/>
      </c>
      <c r="P16" s="68" t="str">
        <f>IF(COUNT('Category Model'!C16)=0,"",ROUND(O16/C16,2))</f>
        <v/>
      </c>
    </row>
    <row r="17" spans="1:16" ht="42" customHeight="1">
      <c r="A17" s="71" t="str">
        <f>'Category Model'!A17</f>
        <v>Optical bin sensors / computer vision</v>
      </c>
      <c r="B17" s="53" t="str">
        <f>'Category Model'!B17</f>
        <v>Distributed bins</v>
      </c>
      <c r="C17" s="53">
        <f>'Category Model'!C17</f>
        <v>0</v>
      </c>
      <c r="D17" s="53">
        <f>'Category Model'!D17</f>
        <v>1</v>
      </c>
      <c r="E17" s="59">
        <v>550</v>
      </c>
      <c r="F17" s="59">
        <v>350</v>
      </c>
      <c r="G17" s="62">
        <v>15</v>
      </c>
      <c r="H17" s="65">
        <v>5</v>
      </c>
      <c r="I17" s="56" t="s">
        <v>377</v>
      </c>
      <c r="J17" s="56" t="s">
        <v>378</v>
      </c>
      <c r="K17" s="56" t="s">
        <v>156</v>
      </c>
      <c r="L17" s="68" t="str">
        <f>IF(COUNT('Category Model'!C17)=0,"",C17*(E17+F17+Assumptions!$B$25))</f>
        <v/>
      </c>
      <c r="M17" s="68" t="str">
        <f>IF(COUNT('Category Model'!C17)=0,"",D17*(Assumptions!$B$22+Assumptions!$B$23))</f>
        <v/>
      </c>
      <c r="N17" s="68" t="str">
        <f>IF(COUNT('Category Model'!C17)=0,"",ROUND(C17*G17/1000*8760*Assumptions!$B$26/Assumptions!$B$27*Assumptions!$B$5+D17*Assumptions!$B$24*Assumptions!$B$5+C17*E17*Assumptions!$B$28/100*Assumptions!$B$5,2))</f>
        <v/>
      </c>
      <c r="O17" s="68" t="str">
        <f>IF(COUNT('Category Model'!C17)=0,"",ROUND(SUM(L17:N17),2))</f>
        <v/>
      </c>
      <c r="P17" s="68" t="str">
        <f>IF(COUNT('Category Model'!C17)=0,"",ROUND(O17/C17,2))</f>
        <v/>
      </c>
    </row>
    <row r="18" spans="1:16" ht="42" customHeight="1">
      <c r="A18" s="71" t="str">
        <f>'Category Model'!A18</f>
        <v>Vibration sensors</v>
      </c>
      <c r="B18" s="53" t="str">
        <f>'Category Model'!B18</f>
        <v>Plant and machinery</v>
      </c>
      <c r="C18" s="53">
        <f>'Category Model'!C18</f>
        <v>0</v>
      </c>
      <c r="D18" s="53">
        <f>'Category Model'!D18</f>
        <v>1</v>
      </c>
      <c r="E18" s="59">
        <v>150</v>
      </c>
      <c r="F18" s="59">
        <v>220</v>
      </c>
      <c r="G18" s="62">
        <v>6</v>
      </c>
      <c r="H18" s="65">
        <v>5</v>
      </c>
      <c r="I18" s="56" t="s">
        <v>379</v>
      </c>
      <c r="J18" s="56" t="s">
        <v>380</v>
      </c>
      <c r="K18" s="56" t="s">
        <v>156</v>
      </c>
      <c r="L18" s="68" t="str">
        <f>IF(COUNT('Category Model'!C18)=0,"",C18*(E18+F18+Assumptions!$B$25))</f>
        <v/>
      </c>
      <c r="M18" s="68" t="str">
        <f>IF(COUNT('Category Model'!C18)=0,"",D18*(Assumptions!$B$22+Assumptions!$B$23))</f>
        <v/>
      </c>
      <c r="N18" s="68" t="str">
        <f>IF(COUNT('Category Model'!C18)=0,"",ROUND(C18*G18/1000*8760*Assumptions!$B$26/Assumptions!$B$27*Assumptions!$B$5+D18*Assumptions!$B$24*Assumptions!$B$5+C18*E18*Assumptions!$B$28/100*Assumptions!$B$5,2))</f>
        <v/>
      </c>
      <c r="O18" s="68" t="str">
        <f>IF(COUNT('Category Model'!C18)=0,"",ROUND(SUM(L18:N18),2))</f>
        <v/>
      </c>
      <c r="P18" s="68" t="str">
        <f>IF(COUNT('Category Model'!C18)=0,"",ROUND(O18/C18,2))</f>
        <v/>
      </c>
    </row>
    <row r="19" spans="1:16" ht="42" customHeight="1">
      <c r="A19" s="71" t="str">
        <f>'Category Model'!A19</f>
        <v>Pressure sensors — medical gases</v>
      </c>
      <c r="B19" s="53" t="str">
        <f>'Category Model'!B19</f>
        <v>Clinical plantrooms</v>
      </c>
      <c r="C19" s="53">
        <f>'Category Model'!C19</f>
        <v>0</v>
      </c>
      <c r="D19" s="53">
        <f>'Category Model'!D19</f>
        <v>1</v>
      </c>
      <c r="E19" s="59">
        <v>200</v>
      </c>
      <c r="F19" s="59">
        <v>300</v>
      </c>
      <c r="G19" s="62">
        <v>5</v>
      </c>
      <c r="H19" s="65">
        <v>5</v>
      </c>
      <c r="I19" s="56" t="s">
        <v>381</v>
      </c>
      <c r="J19" s="56" t="s">
        <v>382</v>
      </c>
      <c r="K19" s="56" t="s">
        <v>156</v>
      </c>
      <c r="L19" s="68" t="str">
        <f>IF(COUNT('Category Model'!C19)=0,"",C19*(E19+F19+Assumptions!$B$25))</f>
        <v/>
      </c>
      <c r="M19" s="68" t="str">
        <f>IF(COUNT('Category Model'!C19)=0,"",D19*(Assumptions!$B$22+Assumptions!$B$23))</f>
        <v/>
      </c>
      <c r="N19" s="68" t="str">
        <f>IF(COUNT('Category Model'!C19)=0,"",ROUND(C19*G19/1000*8760*Assumptions!$B$26/Assumptions!$B$27*Assumptions!$B$5+D19*Assumptions!$B$24*Assumptions!$B$5+C19*E19*Assumptions!$B$28/100*Assumptions!$B$5,2))</f>
        <v/>
      </c>
      <c r="O19" s="68" t="str">
        <f>IF(COUNT('Category Model'!C19)=0,"",ROUND(SUM(L19:N19),2))</f>
        <v/>
      </c>
      <c r="P19" s="68" t="str">
        <f>IF(COUNT('Category Model'!C19)=0,"",ROUND(O19/C19,2))</f>
        <v/>
      </c>
    </row>
    <row r="20" spans="1:16" ht="42" customHeight="1">
      <c r="A20" s="72" t="str">
        <f>'Category Model'!A20</f>
        <v>Ultrasonic non-invasive — medical gases</v>
      </c>
      <c r="B20" s="54" t="str">
        <f>'Category Model'!B20</f>
        <v>Clinical cylinders / pipes</v>
      </c>
      <c r="C20" s="54">
        <f>'Category Model'!C20</f>
        <v>0</v>
      </c>
      <c r="D20" s="54">
        <f>'Category Model'!D20</f>
        <v>1</v>
      </c>
      <c r="E20" s="60">
        <v>240</v>
      </c>
      <c r="F20" s="60">
        <v>300</v>
      </c>
      <c r="G20" s="63">
        <v>6</v>
      </c>
      <c r="H20" s="66">
        <v>5</v>
      </c>
      <c r="I20" s="57" t="s">
        <v>383</v>
      </c>
      <c r="J20" s="57" t="s">
        <v>384</v>
      </c>
      <c r="K20" s="57" t="s">
        <v>156</v>
      </c>
      <c r="L20" s="69" t="str">
        <f>IF(COUNT('Category Model'!C20)=0,"",C20*(E20+F20+Assumptions!$B$25))</f>
        <v/>
      </c>
      <c r="M20" s="69" t="str">
        <f>IF(COUNT('Category Model'!C20)=0,"",D20*(Assumptions!$B$22+Assumptions!$B$23))</f>
        <v/>
      </c>
      <c r="N20" s="69" t="str">
        <f>IF(COUNT('Category Model'!C20)=0,"",ROUND(C20*G20/1000*8760*Assumptions!$B$26/Assumptions!$B$27*Assumptions!$B$5+D20*Assumptions!$B$24*Assumptions!$B$5+C20*E20*Assumptions!$B$28/100*Assumptions!$B$5,2))</f>
        <v/>
      </c>
      <c r="O20" s="69" t="str">
        <f>IF(COUNT('Category Model'!C20)=0,"",ROUND(SUM(L20:N20),2))</f>
        <v/>
      </c>
      <c r="P20" s="69" t="str">
        <f>IF(COUNT('Category Model'!C20)=0,"",ROUND(O20/C20,2))</f>
        <v/>
      </c>
    </row>
    <row r="21" spans="1:16" ht="48" customHeight="1">
      <c r="A21" s="101" t="str">
        <f>'Category Model'!A21</f>
        <v>People counting / footfall</v>
      </c>
      <c r="B21" s="101" t="str">
        <f>'Category Model'!B21</f>
        <v>Entrances / circulation</v>
      </c>
      <c r="C21" s="101">
        <v>46</v>
      </c>
      <c r="D21" s="101">
        <f>'Category Model'!D21</f>
        <v>1</v>
      </c>
      <c r="E21" s="103">
        <v>450</v>
      </c>
      <c r="F21" s="103">
        <v>250</v>
      </c>
      <c r="G21" s="104">
        <v>12</v>
      </c>
      <c r="H21" s="105">
        <v>5</v>
      </c>
      <c r="I21" s="102" t="s">
        <v>421</v>
      </c>
      <c r="J21" s="102" t="s">
        <v>422</v>
      </c>
      <c r="K21" s="102" t="s">
        <v>156</v>
      </c>
      <c r="L21" s="99" t="str">
        <f>IF(COUNT('Category Model'!C21)=0,"",C21*(E21+F21+Assumptions!$B$25))</f>
        <v/>
      </c>
      <c r="M21" s="99" t="str">
        <f>IF(COUNT('Category Model'!C21)=0,"",D21*(Assumptions!$B$22+Assumptions!$B$23))</f>
        <v/>
      </c>
      <c r="N21" s="99" t="str">
        <f>IF(COUNT('Category Model'!C21)=0,"",ROUND(C21*G21/1000*8760*Assumptions!$B$26/Assumptions!$B$27*Assumptions!$B$5+D21*Assumptions!$B$24*Assumptions!$B$5+C21*E21*Assumptions!$B$28/100*Assumptions!$B$5,2))</f>
        <v/>
      </c>
      <c r="O21" s="99" t="str">
        <f>IF(COUNT('Category Model'!C21)=0,"",ROUND(SUM(L21:N21),2))</f>
        <v/>
      </c>
      <c r="P21" s="99" t="str">
        <f>IF(COUNT('Category Model'!C21)=0,"",ROUND(O21/C21,2))</f>
        <v/>
      </c>
    </row>
  </sheetData>
  <mergeCells count="2">
    <mergeCell ref="A1:P1"/>
    <mergeCell ref="A2:P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showGridLines="0" workbookViewId="0">
      <selection activeCell="C15" sqref="C15"/>
    </sheetView>
  </sheetViews>
  <sheetFormatPr defaultRowHeight="14.25"/>
  <cols>
    <col min="1" max="1" width="34" customWidth="1"/>
    <col min="2" max="3" width="22" customWidth="1"/>
    <col min="4" max="4" width="24" customWidth="1"/>
    <col min="5" max="5" width="25" customWidth="1"/>
    <col min="6" max="7" width="38" customWidth="1"/>
  </cols>
  <sheetData>
    <row r="1" spans="1:7" ht="25.9" customHeight="1">
      <c r="A1" s="118" t="s">
        <v>199</v>
      </c>
      <c r="B1" s="118"/>
      <c r="C1" s="118"/>
      <c r="D1" s="118"/>
      <c r="E1" s="118"/>
      <c r="F1" s="118"/>
      <c r="G1" s="118"/>
    </row>
    <row r="2" spans="1:7" ht="25.9" customHeight="1">
      <c r="A2" s="134" t="s">
        <v>200</v>
      </c>
      <c r="B2" s="134"/>
      <c r="C2" s="134"/>
      <c r="D2" s="134"/>
      <c r="E2" s="134"/>
      <c r="F2" s="134"/>
      <c r="G2" s="134"/>
    </row>
    <row r="4" spans="1:7" ht="37.9" customHeight="1">
      <c r="A4" s="78" t="s">
        <v>201</v>
      </c>
      <c r="B4" s="78" t="s">
        <v>202</v>
      </c>
      <c r="C4" s="78" t="s">
        <v>203</v>
      </c>
      <c r="D4" s="78" t="s">
        <v>204</v>
      </c>
      <c r="E4" s="78" t="s">
        <v>205</v>
      </c>
      <c r="F4" s="78" t="s">
        <v>206</v>
      </c>
      <c r="G4" s="78" t="s">
        <v>207</v>
      </c>
    </row>
    <row r="5" spans="1:7" ht="45" customHeight="1">
      <c r="A5" s="49" t="s">
        <v>208</v>
      </c>
      <c r="B5" s="49" t="s">
        <v>209</v>
      </c>
      <c r="C5" s="49" t="s">
        <v>210</v>
      </c>
      <c r="D5" s="85" t="s">
        <v>211</v>
      </c>
      <c r="E5" s="49" t="s">
        <v>212</v>
      </c>
      <c r="F5" s="49" t="s">
        <v>213</v>
      </c>
      <c r="G5" s="49" t="s">
        <v>214</v>
      </c>
    </row>
    <row r="6" spans="1:7" ht="45" customHeight="1">
      <c r="A6" s="50" t="s">
        <v>215</v>
      </c>
      <c r="B6" s="50" t="s">
        <v>216</v>
      </c>
      <c r="C6" s="50" t="s">
        <v>209</v>
      </c>
      <c r="D6" s="86" t="s">
        <v>217</v>
      </c>
      <c r="E6" s="50" t="s">
        <v>218</v>
      </c>
      <c r="F6" s="50" t="s">
        <v>219</v>
      </c>
      <c r="G6" s="50" t="s">
        <v>220</v>
      </c>
    </row>
    <row r="7" spans="1:7" ht="45" customHeight="1">
      <c r="A7" s="50" t="s">
        <v>221</v>
      </c>
      <c r="B7" s="50" t="s">
        <v>210</v>
      </c>
      <c r="C7" s="50" t="s">
        <v>210</v>
      </c>
      <c r="D7" s="86" t="s">
        <v>209</v>
      </c>
      <c r="E7" s="50" t="s">
        <v>222</v>
      </c>
      <c r="F7" s="50" t="s">
        <v>223</v>
      </c>
      <c r="G7" s="50" t="s">
        <v>224</v>
      </c>
    </row>
    <row r="8" spans="1:7" ht="45" customHeight="1">
      <c r="A8" s="50" t="s">
        <v>225</v>
      </c>
      <c r="B8" s="50" t="s">
        <v>209</v>
      </c>
      <c r="C8" s="50" t="s">
        <v>209</v>
      </c>
      <c r="D8" s="86" t="s">
        <v>226</v>
      </c>
      <c r="E8" s="50" t="s">
        <v>227</v>
      </c>
      <c r="F8" s="50" t="s">
        <v>228</v>
      </c>
      <c r="G8" s="50" t="s">
        <v>229</v>
      </c>
    </row>
    <row r="9" spans="1:7" ht="45" customHeight="1">
      <c r="A9" s="50" t="s">
        <v>230</v>
      </c>
      <c r="B9" s="50" t="s">
        <v>231</v>
      </c>
      <c r="C9" s="50" t="s">
        <v>232</v>
      </c>
      <c r="D9" s="86" t="s">
        <v>209</v>
      </c>
      <c r="E9" s="50" t="s">
        <v>233</v>
      </c>
      <c r="F9" s="50" t="s">
        <v>234</v>
      </c>
      <c r="G9" s="50" t="s">
        <v>235</v>
      </c>
    </row>
    <row r="10" spans="1:7" ht="45" customHeight="1">
      <c r="A10" s="50" t="s">
        <v>236</v>
      </c>
      <c r="B10" s="50" t="s">
        <v>237</v>
      </c>
      <c r="C10" s="50" t="s">
        <v>237</v>
      </c>
      <c r="D10" s="86" t="s">
        <v>238</v>
      </c>
      <c r="E10" s="50" t="s">
        <v>239</v>
      </c>
      <c r="F10" s="50" t="s">
        <v>240</v>
      </c>
      <c r="G10" s="50" t="s">
        <v>241</v>
      </c>
    </row>
    <row r="11" spans="1:7" ht="45" customHeight="1">
      <c r="A11" s="50" t="s">
        <v>242</v>
      </c>
      <c r="B11" s="50" t="s">
        <v>243</v>
      </c>
      <c r="C11" s="50" t="s">
        <v>244</v>
      </c>
      <c r="D11" s="86" t="s">
        <v>245</v>
      </c>
      <c r="E11" s="50" t="s">
        <v>246</v>
      </c>
      <c r="F11" s="50" t="s">
        <v>247</v>
      </c>
      <c r="G11" s="50" t="s">
        <v>248</v>
      </c>
    </row>
    <row r="12" spans="1:7" ht="45" customHeight="1">
      <c r="A12" s="50" t="s">
        <v>249</v>
      </c>
      <c r="B12" s="50" t="s">
        <v>250</v>
      </c>
      <c r="C12" s="50" t="s">
        <v>251</v>
      </c>
      <c r="D12" s="86" t="s">
        <v>209</v>
      </c>
      <c r="E12" s="50" t="s">
        <v>222</v>
      </c>
      <c r="F12" s="50" t="s">
        <v>252</v>
      </c>
      <c r="G12" s="50" t="s">
        <v>253</v>
      </c>
    </row>
    <row r="13" spans="1:7" ht="45" customHeight="1">
      <c r="A13" s="50" t="s">
        <v>254</v>
      </c>
      <c r="B13" s="50" t="s">
        <v>255</v>
      </c>
      <c r="C13" s="50" t="s">
        <v>256</v>
      </c>
      <c r="D13" s="86" t="s">
        <v>255</v>
      </c>
      <c r="E13" s="50" t="s">
        <v>218</v>
      </c>
      <c r="F13" s="50" t="s">
        <v>257</v>
      </c>
      <c r="G13" s="50" t="s">
        <v>258</v>
      </c>
    </row>
    <row r="14" spans="1:7" ht="45" customHeight="1">
      <c r="A14" s="51" t="s">
        <v>259</v>
      </c>
      <c r="B14" s="51" t="s">
        <v>260</v>
      </c>
      <c r="C14" s="51" t="s">
        <v>260</v>
      </c>
      <c r="D14" s="87" t="s">
        <v>261</v>
      </c>
      <c r="E14" s="51" t="s">
        <v>262</v>
      </c>
      <c r="F14" s="51" t="s">
        <v>263</v>
      </c>
      <c r="G14" s="51" t="s">
        <v>264</v>
      </c>
    </row>
    <row r="15" spans="1:7" ht="52.15" customHeight="1">
      <c r="A15" s="93" t="s">
        <v>409</v>
      </c>
      <c r="B15" s="93" t="s">
        <v>410</v>
      </c>
      <c r="C15" s="93" t="s">
        <v>410</v>
      </c>
      <c r="D15" s="112" t="s">
        <v>411</v>
      </c>
      <c r="E15" s="93" t="s">
        <v>412</v>
      </c>
      <c r="F15" s="93" t="s">
        <v>413</v>
      </c>
      <c r="G15" s="93" t="s">
        <v>414</v>
      </c>
    </row>
    <row r="16" spans="1:7" ht="34.15" customHeight="1">
      <c r="A16" s="135" t="s">
        <v>415</v>
      </c>
      <c r="B16" s="135"/>
      <c r="C16" s="135"/>
      <c r="D16" s="135"/>
      <c r="E16" s="135"/>
      <c r="F16" s="135"/>
      <c r="G16" s="135"/>
    </row>
  </sheetData>
  <mergeCells count="3">
    <mergeCell ref="A1:G1"/>
    <mergeCell ref="A2:G2"/>
    <mergeCell ref="A16:G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showGridLines="0" workbookViewId="0"/>
  </sheetViews>
  <sheetFormatPr defaultRowHeight="14.25"/>
  <cols>
    <col min="1" max="1" width="32" customWidth="1"/>
    <col min="2" max="4" width="14" customWidth="1"/>
    <col min="5" max="6" width="12" customWidth="1"/>
    <col min="7" max="7" width="60" customWidth="1"/>
  </cols>
  <sheetData>
    <row r="1" spans="1:7" ht="15">
      <c r="A1" s="118" t="s">
        <v>385</v>
      </c>
      <c r="B1" s="118"/>
      <c r="C1" s="118"/>
      <c r="D1" s="118"/>
      <c r="E1" s="118"/>
      <c r="F1" s="118"/>
      <c r="G1" s="118"/>
    </row>
    <row r="2" spans="1:7">
      <c r="A2" s="134" t="s">
        <v>386</v>
      </c>
      <c r="B2" s="134"/>
      <c r="C2" s="134"/>
      <c r="D2" s="134"/>
      <c r="E2" s="134"/>
      <c r="F2" s="134"/>
      <c r="G2" s="134"/>
    </row>
    <row r="4" spans="1:7" ht="15">
      <c r="A4" s="77" t="s">
        <v>387</v>
      </c>
      <c r="B4" s="77" t="s">
        <v>388</v>
      </c>
      <c r="C4" s="77" t="s">
        <v>389</v>
      </c>
      <c r="D4" s="77" t="s">
        <v>390</v>
      </c>
      <c r="E4" s="77" t="s">
        <v>391</v>
      </c>
      <c r="F4" s="77" t="s">
        <v>392</v>
      </c>
      <c r="G4" s="77" t="s">
        <v>393</v>
      </c>
    </row>
    <row r="5" spans="1:7" ht="34.15" customHeight="1">
      <c r="A5" s="49" t="s">
        <v>394</v>
      </c>
      <c r="B5" s="90">
        <f>SUM('PoE Model'!O5:O21)-SUM('PoE Model'!L5:N21)</f>
        <v>0</v>
      </c>
      <c r="C5" s="90">
        <f>0</f>
        <v>0</v>
      </c>
      <c r="D5" s="90">
        <f>B5-C5</f>
        <v>0</v>
      </c>
      <c r="E5" s="90">
        <f>0.01</f>
        <v>0.01</v>
      </c>
      <c r="F5" s="49" t="str">
        <f>IF(ABS(D5)&lt;=E5,"OK","FAIL")</f>
        <v>OK</v>
      </c>
      <c r="G5" s="49" t="s">
        <v>395</v>
      </c>
    </row>
    <row r="6" spans="1:7" ht="34.15" customHeight="1">
      <c r="A6" s="50" t="s">
        <v>396</v>
      </c>
      <c r="B6" s="91">
        <f>COUNT('PoE Model'!P5:P21)</f>
        <v>1</v>
      </c>
      <c r="C6" s="91">
        <f>COUNT('Category Model'!C5:C21)</f>
        <v>1</v>
      </c>
      <c r="D6" s="91">
        <f>B6-C6</f>
        <v>0</v>
      </c>
      <c r="E6" s="91">
        <f>0</f>
        <v>0</v>
      </c>
      <c r="F6" s="50" t="str">
        <f>IF(ABS(D6)&lt;=E6,"OK","FAIL")</f>
        <v>OK</v>
      </c>
      <c r="G6" s="50" t="s">
        <v>397</v>
      </c>
    </row>
    <row r="7" spans="1:7" ht="34.15" customHeight="1">
      <c r="A7" s="50" t="s">
        <v>398</v>
      </c>
      <c r="B7" s="91">
        <f>MIN(Assumptions!B22:B28,'PoE Model'!E5:H21)</f>
        <v>0</v>
      </c>
      <c r="C7" s="91">
        <f>0</f>
        <v>0</v>
      </c>
      <c r="D7" s="91">
        <f>MIN(0,B7-C7)</f>
        <v>0</v>
      </c>
      <c r="E7" s="91">
        <f>0</f>
        <v>0</v>
      </c>
      <c r="F7" s="50" t="str">
        <f>IF(D7&gt;=-E7,"OK","FAIL")</f>
        <v>OK</v>
      </c>
      <c r="G7" s="50" t="s">
        <v>399</v>
      </c>
    </row>
    <row r="8" spans="1:7" ht="34.15" customHeight="1">
      <c r="A8" s="51" t="s">
        <v>400</v>
      </c>
      <c r="B8" s="92">
        <f>Summary!B5</f>
        <v>17</v>
      </c>
      <c r="C8" s="92">
        <f>COUNTA('Category Model'!A5:A21)</f>
        <v>17</v>
      </c>
      <c r="D8" s="92">
        <f>B8-C8</f>
        <v>0</v>
      </c>
      <c r="E8" s="92">
        <f>0</f>
        <v>0</v>
      </c>
      <c r="F8" s="51" t="str">
        <f>IF(ABS(D8)&lt;=E8,"OK","FAIL")</f>
        <v>OK</v>
      </c>
      <c r="G8" s="51" t="s">
        <v>401</v>
      </c>
    </row>
    <row r="10" spans="1:7" ht="15">
      <c r="A10" s="118" t="s">
        <v>402</v>
      </c>
      <c r="B10" s="118"/>
      <c r="C10" s="118"/>
      <c r="D10" s="118"/>
      <c r="E10" s="118"/>
      <c r="F10" s="118" t="str">
        <f>IF(COUNTIF(F5:F8,"FAIL")=0,"OK","FAIL")</f>
        <v>OK</v>
      </c>
      <c r="G10" s="118"/>
    </row>
  </sheetData>
  <mergeCells count="4">
    <mergeCell ref="A1:G1"/>
    <mergeCell ref="A2:G2"/>
    <mergeCell ref="A10:E10"/>
    <mergeCell ref="F10:G10"/>
  </mergeCells>
  <conditionalFormatting sqref="F5:F8">
    <cfRule type="containsText" dxfId="1" priority="1" operator="containsText" text="OK"/>
    <cfRule type="containsText" dxfId="0" priority="2" operator="containsText" text="FAIL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Assumptions</vt:lpstr>
      <vt:lpstr>Category Model</vt:lpstr>
      <vt:lpstr>Sources</vt:lpstr>
      <vt:lpstr>PoE Model</vt:lpstr>
      <vt:lpstr>Decision Guide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Bellis Thomas (RBT) Mid Cheshire Tr</cp:lastModifiedBy>
  <dcterms:modified xsi:type="dcterms:W3CDTF">2026-08-03T08:26:46Z</dcterms:modified>
</cp:coreProperties>
</file>