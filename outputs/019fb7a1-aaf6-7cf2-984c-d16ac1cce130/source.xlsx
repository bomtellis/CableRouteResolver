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mbe\Downloads\"/>
    </mc:Choice>
  </mc:AlternateContent>
  <xr:revisionPtr revIDLastSave="0" documentId="8_{E10EDFCC-B5C3-4A78-A6CD-12A41CA60E81}" xr6:coauthVersionLast="47" xr6:coauthVersionMax="47" xr10:uidLastSave="{00000000-0000-0000-0000-000000000000}"/>
  <bookViews>
    <workbookView xWindow="38280" yWindow="-120" windowWidth="29040" windowHeight="15720" tabRatio="570" xr2:uid="{00000000-000D-0000-FFFF-FFFF00000000}"/>
  </bookViews>
  <sheets>
    <sheet name="Summary" sheetId="1" r:id="rId1"/>
    <sheet name="Assumptions" sheetId="2" r:id="rId2"/>
    <sheet name="Category Model" sheetId="3" r:id="rId3"/>
    <sheet name="Decision Guide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6" i="5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W5" i="3"/>
  <c r="V5" i="3"/>
  <c r="P5" i="3"/>
  <c r="X20" i="3"/>
  <c r="S20" i="3"/>
  <c r="R20" i="3"/>
  <c r="Q20" i="3"/>
  <c r="P20" i="3"/>
  <c r="X19" i="3"/>
  <c r="S19" i="3"/>
  <c r="R19" i="3"/>
  <c r="Q19" i="3"/>
  <c r="P19" i="3"/>
  <c r="X18" i="3"/>
  <c r="S18" i="3"/>
  <c r="R18" i="3"/>
  <c r="Q18" i="3"/>
  <c r="P18" i="3"/>
  <c r="AE17" i="3"/>
  <c r="AB17" i="3"/>
  <c r="X17" i="3"/>
  <c r="S17" i="3"/>
  <c r="R17" i="3"/>
  <c r="Q17" i="3"/>
  <c r="P17" i="3"/>
  <c r="X16" i="3"/>
  <c r="S16" i="3"/>
  <c r="R16" i="3"/>
  <c r="Q16" i="3"/>
  <c r="P16" i="3"/>
  <c r="X15" i="3"/>
  <c r="S15" i="3"/>
  <c r="R15" i="3"/>
  <c r="Q15" i="3"/>
  <c r="P15" i="3"/>
  <c r="X14" i="3"/>
  <c r="S14" i="3"/>
  <c r="R14" i="3"/>
  <c r="Q14" i="3"/>
  <c r="P14" i="3"/>
  <c r="X13" i="3"/>
  <c r="S13" i="3"/>
  <c r="R13" i="3"/>
  <c r="Q13" i="3"/>
  <c r="P13" i="3"/>
  <c r="X12" i="3"/>
  <c r="S12" i="3"/>
  <c r="R12" i="3"/>
  <c r="Q12" i="3"/>
  <c r="P12" i="3"/>
  <c r="X11" i="3"/>
  <c r="S11" i="3"/>
  <c r="R11" i="3"/>
  <c r="Q11" i="3"/>
  <c r="P11" i="3"/>
  <c r="X10" i="3"/>
  <c r="S10" i="3"/>
  <c r="R10" i="3"/>
  <c r="Q10" i="3"/>
  <c r="P10" i="3"/>
  <c r="X9" i="3"/>
  <c r="S9" i="3"/>
  <c r="R9" i="3"/>
  <c r="Q9" i="3"/>
  <c r="P9" i="3"/>
  <c r="X8" i="3"/>
  <c r="S8" i="3"/>
  <c r="R8" i="3"/>
  <c r="Q8" i="3"/>
  <c r="P8" i="3"/>
  <c r="X7" i="3"/>
  <c r="S7" i="3"/>
  <c r="R7" i="3"/>
  <c r="Q7" i="3"/>
  <c r="P7" i="3"/>
  <c r="X6" i="3"/>
  <c r="S6" i="3"/>
  <c r="R6" i="3"/>
  <c r="Q6" i="3"/>
  <c r="P6" i="3"/>
  <c r="X5" i="3"/>
  <c r="S5" i="3"/>
  <c r="R5" i="3"/>
  <c r="Q5" i="3"/>
  <c r="H27" i="1"/>
  <c r="G27" i="1"/>
  <c r="C27" i="1"/>
  <c r="B27" i="1"/>
  <c r="A27" i="1"/>
  <c r="T27" i="1" s="1"/>
  <c r="H26" i="1"/>
  <c r="G26" i="1"/>
  <c r="C26" i="1"/>
  <c r="B26" i="1"/>
  <c r="A26" i="1"/>
  <c r="T26" i="1" s="1"/>
  <c r="H25" i="1"/>
  <c r="G25" i="1"/>
  <c r="C25" i="1"/>
  <c r="B25" i="1"/>
  <c r="A25" i="1"/>
  <c r="T25" i="1" s="1"/>
  <c r="H24" i="1"/>
  <c r="G24" i="1"/>
  <c r="C24" i="1"/>
  <c r="B24" i="1"/>
  <c r="A24" i="1"/>
  <c r="T24" i="1" s="1"/>
  <c r="H23" i="1"/>
  <c r="G23" i="1"/>
  <c r="C23" i="1"/>
  <c r="B23" i="1"/>
  <c r="A23" i="1"/>
  <c r="T23" i="1" s="1"/>
  <c r="H22" i="1"/>
  <c r="G22" i="1"/>
  <c r="C22" i="1"/>
  <c r="B22" i="1"/>
  <c r="A22" i="1"/>
  <c r="T22" i="1" s="1"/>
  <c r="H21" i="1"/>
  <c r="G21" i="1"/>
  <c r="C21" i="1"/>
  <c r="B21" i="1"/>
  <c r="A21" i="1"/>
  <c r="T21" i="1" s="1"/>
  <c r="H20" i="1"/>
  <c r="G20" i="1"/>
  <c r="C20" i="1"/>
  <c r="B20" i="1"/>
  <c r="A20" i="1"/>
  <c r="T20" i="1" s="1"/>
  <c r="H19" i="1"/>
  <c r="G19" i="1"/>
  <c r="C19" i="1"/>
  <c r="B19" i="1"/>
  <c r="A19" i="1"/>
  <c r="T19" i="1" s="1"/>
  <c r="H18" i="1"/>
  <c r="G18" i="1"/>
  <c r="C18" i="1"/>
  <c r="B18" i="1"/>
  <c r="A18" i="1"/>
  <c r="T18" i="1" s="1"/>
  <c r="H17" i="1"/>
  <c r="G17" i="1"/>
  <c r="C17" i="1"/>
  <c r="B17" i="1"/>
  <c r="A17" i="1"/>
  <c r="T17" i="1" s="1"/>
  <c r="H16" i="1"/>
  <c r="G16" i="1"/>
  <c r="C16" i="1"/>
  <c r="B16" i="1"/>
  <c r="A16" i="1"/>
  <c r="T16" i="1" s="1"/>
  <c r="H15" i="1"/>
  <c r="G15" i="1"/>
  <c r="C15" i="1"/>
  <c r="B15" i="1"/>
  <c r="A15" i="1"/>
  <c r="T15" i="1" s="1"/>
  <c r="H14" i="1"/>
  <c r="G14" i="1"/>
  <c r="C14" i="1"/>
  <c r="B14" i="1"/>
  <c r="A14" i="1"/>
  <c r="T14" i="1" s="1"/>
  <c r="H13" i="1"/>
  <c r="G13" i="1"/>
  <c r="C13" i="1"/>
  <c r="B13" i="1"/>
  <c r="A13" i="1"/>
  <c r="T13" i="1" s="1"/>
  <c r="B9" i="1"/>
  <c r="B5" i="1"/>
  <c r="Y20" i="3" l="1"/>
  <c r="Z20" i="3" s="1"/>
  <c r="E27" i="1" s="1"/>
  <c r="V27" i="1" s="1"/>
  <c r="T18" i="3"/>
  <c r="U18" i="3" s="1"/>
  <c r="T12" i="3"/>
  <c r="U12" i="3" s="1"/>
  <c r="Y8" i="3"/>
  <c r="Z8" i="3" s="1"/>
  <c r="E16" i="1" s="1"/>
  <c r="V16" i="1" s="1"/>
  <c r="Y7" i="3"/>
  <c r="Z7" i="3" s="1"/>
  <c r="E15" i="1" s="1"/>
  <c r="V15" i="1" s="1"/>
  <c r="Y19" i="3"/>
  <c r="T19" i="3"/>
  <c r="U19" i="3" s="1"/>
  <c r="T17" i="3"/>
  <c r="Y16" i="3"/>
  <c r="Y14" i="3"/>
  <c r="Y11" i="3"/>
  <c r="Z11" i="3" s="1"/>
  <c r="E19" i="1" s="1"/>
  <c r="V19" i="1" s="1"/>
  <c r="Y9" i="3"/>
  <c r="Z9" i="3" s="1"/>
  <c r="E17" i="1" s="1"/>
  <c r="V17" i="1" s="1"/>
  <c r="T20" i="3"/>
  <c r="Y18" i="3"/>
  <c r="Y15" i="3"/>
  <c r="T15" i="3"/>
  <c r="U15" i="3" s="1"/>
  <c r="T14" i="3"/>
  <c r="T13" i="3"/>
  <c r="T16" i="3"/>
  <c r="Y13" i="3"/>
  <c r="Z13" i="3" s="1"/>
  <c r="E21" i="1" s="1"/>
  <c r="V21" i="1" s="1"/>
  <c r="Y17" i="3"/>
  <c r="Y12" i="3"/>
  <c r="T11" i="3"/>
  <c r="Y10" i="3"/>
  <c r="Z10" i="3" s="1"/>
  <c r="E18" i="1" s="1"/>
  <c r="V18" i="1" s="1"/>
  <c r="Y5" i="3"/>
  <c r="Z5" i="3" s="1"/>
  <c r="E13" i="1" s="1"/>
  <c r="V13" i="1" s="1"/>
  <c r="T10" i="3"/>
  <c r="Y6" i="3"/>
  <c r="Z6" i="3" s="1"/>
  <c r="E14" i="1" s="1"/>
  <c r="V14" i="1" s="1"/>
  <c r="T8" i="3"/>
  <c r="T9" i="3"/>
  <c r="T6" i="3"/>
  <c r="T5" i="3"/>
  <c r="T7" i="3"/>
  <c r="AC14" i="3" l="1"/>
  <c r="U14" i="3"/>
  <c r="D22" i="1" s="1"/>
  <c r="U22" i="1" s="1"/>
  <c r="AA13" i="3"/>
  <c r="AC13" i="3"/>
  <c r="AA16" i="3"/>
  <c r="U16" i="3"/>
  <c r="Z19" i="3"/>
  <c r="AB19" i="3"/>
  <c r="Z16" i="3"/>
  <c r="E24" i="1" s="1"/>
  <c r="V24" i="1" s="1"/>
  <c r="AC16" i="3"/>
  <c r="AB16" i="3"/>
  <c r="Z14" i="3"/>
  <c r="AB14" i="3"/>
  <c r="AA14" i="3"/>
  <c r="Z18" i="3"/>
  <c r="AC18" i="3"/>
  <c r="AA18" i="3"/>
  <c r="AB18" i="3"/>
  <c r="Z15" i="3"/>
  <c r="AB15" i="3"/>
  <c r="AA15" i="3"/>
  <c r="AC15" i="3"/>
  <c r="U20" i="3"/>
  <c r="AC20" i="3"/>
  <c r="AA20" i="3"/>
  <c r="AB20" i="3"/>
  <c r="AC19" i="3"/>
  <c r="AA19" i="3"/>
  <c r="AC17" i="3"/>
  <c r="U17" i="3"/>
  <c r="Z17" i="3"/>
  <c r="AA17" i="3"/>
  <c r="U13" i="3"/>
  <c r="AB13" i="3"/>
  <c r="Z12" i="3"/>
  <c r="AC12" i="3"/>
  <c r="AB12" i="3"/>
  <c r="AA12" i="3"/>
  <c r="AC11" i="3"/>
  <c r="U11" i="3"/>
  <c r="AB11" i="3"/>
  <c r="AA11" i="3"/>
  <c r="AB10" i="3"/>
  <c r="AC10" i="3"/>
  <c r="AA10" i="3"/>
  <c r="U10" i="3"/>
  <c r="U8" i="3"/>
  <c r="AC8" i="3"/>
  <c r="AA8" i="3"/>
  <c r="AB8" i="3"/>
  <c r="U9" i="3"/>
  <c r="AA9" i="3"/>
  <c r="AB9" i="3"/>
  <c r="AC9" i="3"/>
  <c r="AB6" i="3"/>
  <c r="U6" i="3"/>
  <c r="AA6" i="3"/>
  <c r="AC6" i="3"/>
  <c r="AB5" i="3"/>
  <c r="AA5" i="3"/>
  <c r="AC5" i="3"/>
  <c r="U5" i="3"/>
  <c r="U7" i="3"/>
  <c r="AA7" i="3"/>
  <c r="AC7" i="3"/>
  <c r="AB7" i="3"/>
  <c r="D26" i="1"/>
  <c r="U26" i="1" s="1"/>
  <c r="D25" i="1"/>
  <c r="U25" i="1" s="1"/>
  <c r="D23" i="1"/>
  <c r="U23" i="1" s="1"/>
  <c r="D20" i="1"/>
  <c r="U20" i="1" s="1"/>
  <c r="D18" i="1" l="1"/>
  <c r="U18" i="1" s="1"/>
  <c r="AD10" i="3"/>
  <c r="B6" i="1"/>
  <c r="E26" i="1"/>
  <c r="V26" i="1" s="1"/>
  <c r="AD19" i="3"/>
  <c r="E22" i="1"/>
  <c r="V22" i="1" s="1"/>
  <c r="AD14" i="3"/>
  <c r="E25" i="1"/>
  <c r="V25" i="1" s="1"/>
  <c r="AD18" i="3"/>
  <c r="E23" i="1"/>
  <c r="V23" i="1" s="1"/>
  <c r="AD15" i="3"/>
  <c r="D24" i="1"/>
  <c r="U24" i="1" s="1"/>
  <c r="AD16" i="3"/>
  <c r="F26" i="1"/>
  <c r="AE19" i="3"/>
  <c r="AE16" i="3"/>
  <c r="F24" i="1"/>
  <c r="AE14" i="3"/>
  <c r="F22" i="1"/>
  <c r="AE18" i="3"/>
  <c r="F25" i="1"/>
  <c r="AE15" i="3"/>
  <c r="F23" i="1"/>
  <c r="F20" i="1"/>
  <c r="AE12" i="3"/>
  <c r="F13" i="1"/>
  <c r="AE5" i="3"/>
  <c r="D27" i="1"/>
  <c r="U27" i="1" s="1"/>
  <c r="AD20" i="3"/>
  <c r="F27" i="1"/>
  <c r="AE20" i="3"/>
  <c r="AD17" i="3"/>
  <c r="F21" i="1"/>
  <c r="AE13" i="3"/>
  <c r="B7" i="1"/>
  <c r="AE11" i="3"/>
  <c r="F19" i="1"/>
  <c r="E20" i="1"/>
  <c r="V20" i="1" s="1"/>
  <c r="AD12" i="3"/>
  <c r="D19" i="1"/>
  <c r="U19" i="1" s="1"/>
  <c r="AD11" i="3"/>
  <c r="AE10" i="3"/>
  <c r="F18" i="1"/>
  <c r="D16" i="1"/>
  <c r="U16" i="1" s="1"/>
  <c r="AD8" i="3"/>
  <c r="AE8" i="3"/>
  <c r="F16" i="1"/>
  <c r="AE9" i="3"/>
  <c r="F17" i="1"/>
  <c r="F15" i="1"/>
  <c r="AE7" i="3"/>
  <c r="D21" i="1"/>
  <c r="U21" i="1" s="1"/>
  <c r="AD13" i="3"/>
  <c r="D17" i="1"/>
  <c r="U17" i="1" s="1"/>
  <c r="AD9" i="3"/>
  <c r="AE6" i="3"/>
  <c r="F14" i="1"/>
  <c r="D14" i="1"/>
  <c r="U14" i="1" s="1"/>
  <c r="AD6" i="3"/>
  <c r="D13" i="1"/>
  <c r="U13" i="1" s="1"/>
  <c r="AD5" i="3"/>
  <c r="D15" i="1"/>
  <c r="U15" i="1" s="1"/>
  <c r="AD7" i="3"/>
  <c r="B8" i="1" l="1"/>
</calcChain>
</file>

<file path=xl/sharedStrings.xml><?xml version="1.0" encoding="utf-8"?>
<sst xmlns="http://schemas.openxmlformats.org/spreadsheetml/2006/main" count="460" uniqueCount="295">
  <si>
    <t>LoRaWAN vs NB-IoT — Cost &amp; Fit Summary</t>
  </si>
  <si>
    <t>UK planning benchmark • GBP ex VAT • 5-year default • category scenarios are independently editable</t>
  </si>
  <si>
    <t>Model headline</t>
  </si>
  <si>
    <t>What the model says</t>
  </si>
  <si>
    <t>Categories modelled</t>
  </si>
  <si>
    <t>LoRaWAN lower-cost</t>
  </si>
  <si>
    <t>NB-IoT lower-cost</t>
  </si>
  <si>
    <t>Technically constrained</t>
  </si>
  <si>
    <t>Default horizon</t>
  </si>
  <si>
    <t>Sensor / use case</t>
  </si>
  <si>
    <t>LoRa fit</t>
  </si>
  <si>
    <t>NB fit</t>
  </si>
  <si>
    <t>LoRa TCO/unit</t>
  </si>
  <si>
    <t>NB TCO/unit</t>
  </si>
  <si>
    <t>Cost winner</t>
  </si>
  <si>
    <t>Technical recommendation</t>
  </si>
  <si>
    <t>Confidence</t>
  </si>
  <si>
    <t>LoRaWAN</t>
  </si>
  <si>
    <t>NB-IoT</t>
  </si>
  <si>
    <t>LoRaWAN vs NB-IoT — Planning Assumptions</t>
  </si>
  <si>
    <t>Blue cells are editable. Costs exclude VAT and the business application/dashboard layer common to both options.</t>
  </si>
  <si>
    <t>Driver</t>
  </si>
  <si>
    <t>Value</t>
  </si>
  <si>
    <t>Unit</t>
  </si>
  <si>
    <t>Basis</t>
  </si>
  <si>
    <t>Source / evidence</t>
  </si>
  <si>
    <t>Sensitivity note</t>
  </si>
  <si>
    <t>Analysis horizon</t>
  </si>
  <si>
    <t>years</t>
  </si>
  <si>
    <t>Planning assumption</t>
  </si>
  <si>
    <t>Change to 3, 7 or 10 years as required</t>
  </si>
  <si>
    <t>Gateways per site</t>
  </si>
  <si>
    <t>gateway/site</t>
  </si>
  <si>
    <t>Survey RF coverage; resilient designs may need 2+</t>
  </si>
  <si>
    <t>LoRaWAN gateway hardware</t>
  </si>
  <si>
    <t>£/gateway</t>
  </si>
  <si>
    <t>Milesight UG65 UK price</t>
  </si>
  <si>
    <t>https://ukiot.io/shop/</t>
  </si>
  <si>
    <t>Lower-cost gateways start around £190</t>
  </si>
  <si>
    <t>LoRaWAN gateway installation</t>
  </si>
  <si>
    <t>Planning allowance</t>
  </si>
  <si>
    <t>Includes mounting, power and network connection</t>
  </si>
  <si>
    <t>LoRaWAN gateway support</t>
  </si>
  <si>
    <t>£/gateway/year</t>
  </si>
  <si>
    <t>Remote monitoring and firmware administration</t>
  </si>
  <si>
    <t>LoRaWAN gateway power</t>
  </si>
  <si>
    <t>8 W at £0.31/kWh</t>
  </si>
  <si>
    <t>Remove if hosted power is immaterial</t>
  </si>
  <si>
    <t>LoRaWAN network server</t>
  </si>
  <si>
    <t>£/device/month</t>
  </si>
  <si>
    <t>Planning benchmark at scale</t>
  </si>
  <si>
    <t>https://aws.amazon.com/marketplace/pp/prodview-djx65iyt6w5cy</t>
  </si>
  <si>
    <t>Small fleets can face a fixed minimum; embedded/open-source can be lower</t>
  </si>
  <si>
    <t>LoRaWAN fixed platform charge</t>
  </si>
  <si>
    <t>£/deployment/year</t>
  </si>
  <si>
    <t>Assumes shared or embedded server</t>
  </si>
  <si>
    <t>Enter vendor minimum subscription if applicable</t>
  </si>
  <si>
    <t>LoRaWAN device commissioning</t>
  </si>
  <si>
    <t>£/device</t>
  </si>
  <si>
    <t>Provisioning, keys, labelling and acceptance</t>
  </si>
  <si>
    <t>NB-IoT included data</t>
  </si>
  <si>
    <t>NB-IoT device commissioning</t>
  </si>
  <si>
    <t>SIM/eSIM activation and acceptance</t>
  </si>
  <si>
    <t>Annual device maintenance</t>
  </si>
  <si>
    <t>% of hardware/year</t>
  </si>
  <si>
    <t>Excludes calibration regimes unique to the sensing application</t>
  </si>
  <si>
    <t>Battery service visit</t>
  </si>
  <si>
    <t>£/device/event</t>
  </si>
  <si>
    <t>Set higher for traffic management, confined space or clinical access</t>
  </si>
  <si>
    <t>EUR to GBP</t>
  </si>
  <si>
    <t>£/€</t>
  </si>
  <si>
    <t>ECB, 24 Jul 2026</t>
  </si>
  <si>
    <t>https://www.ecb.europa.eu/stats/policy_and_exchange_rates/euro_reference_exchange_rates/html/index.en.html</t>
  </si>
  <si>
    <t>Update for procurement date</t>
  </si>
  <si>
    <t>Category-Level Five-Year TCO</t>
  </si>
  <si>
    <t>Each row is a standalone deployment scenario. Change quantities, sites, device prices, data and battery life in blue columns.</t>
  </si>
  <si>
    <t>Deployment archetype</t>
  </si>
  <si>
    <t>Units</t>
  </si>
  <si>
    <t>Sites</t>
  </si>
  <si>
    <t>LoRa HW £/unit</t>
  </si>
  <si>
    <t>NB HW £/unit</t>
  </si>
  <si>
    <t>Install £/unit</t>
  </si>
  <si>
    <t>NB data MB/month</t>
  </si>
  <si>
    <t>LoRa battery years</t>
  </si>
  <si>
    <t>NB battery years</t>
  </si>
  <si>
    <t>LoRa suitability (1–5)</t>
  </si>
  <si>
    <t>NB suitability (1–5)</t>
  </si>
  <si>
    <t>Required behaviour / boundary</t>
  </si>
  <si>
    <t>Evidence confidence</t>
  </si>
  <si>
    <t>LoRa device capex</t>
  </si>
  <si>
    <t>LoRa shared infra</t>
  </si>
  <si>
    <t>LoRa maintenance</t>
  </si>
  <si>
    <t>LoRa server variable</t>
  </si>
  <si>
    <t>LoRa TCO</t>
  </si>
  <si>
    <t>NB maintenance</t>
  </si>
  <si>
    <t>NB TCO</t>
  </si>
  <si>
    <t>LoRa minus NB</t>
  </si>
  <si>
    <t>Lower-cost option</t>
  </si>
  <si>
    <t>Saving vs higher TCO</t>
  </si>
  <si>
    <t>LoRa break-even units/site</t>
  </si>
  <si>
    <t>Decision note</t>
  </si>
  <si>
    <t>IAQ sensors</t>
  </si>
  <si>
    <t>Indoor multi-site</t>
  </si>
  <si>
    <t>Periodic CO₂/VOC/PM/temperature metadata</t>
  </si>
  <si>
    <t>LoRaWAN for dense estates; NB-IoT for isolated buildings</t>
  </si>
  <si>
    <t>Medium</t>
  </si>
  <si>
    <t>Parking bay sensors</t>
  </si>
  <si>
    <t>Outdoor campus / street</t>
  </si>
  <si>
    <t>Occupancy events and health telemetry</t>
  </si>
  <si>
    <t>LoRaWAN on owned campus; NB-IoT for dispersed street assets</t>
  </si>
  <si>
    <t>Room displays</t>
  </si>
  <si>
    <t>Indoor rooms</t>
  </si>
  <si>
    <t>E-ink/status updates only; not rich interactive content</t>
  </si>
  <si>
    <t>LoRaWAN for simple e-ink; Wi-Fi/Ethernet for rich displays</t>
  </si>
  <si>
    <t>Low</t>
  </si>
  <si>
    <t>Lux sensors</t>
  </si>
  <si>
    <t>Periodic light level and threshold alarms</t>
  </si>
  <si>
    <t>LoRaWAN where a shared building network exists</t>
  </si>
  <si>
    <t>Metering — electricity and water</t>
  </si>
  <si>
    <t>Plantrooms / meters</t>
  </si>
  <si>
    <t>Registers, pulse counts or Modbus data</t>
  </si>
  <si>
    <t>LoRaWAN for estates; NB-IoT for utility-style dispersed meters</t>
  </si>
  <si>
    <t>High</t>
  </si>
  <si>
    <t>Fridge / process temperature</t>
  </si>
  <si>
    <t>Indoor critical assets</t>
  </si>
  <si>
    <t>Periodic temperature plus immediate excursion alarm</t>
  </si>
  <si>
    <t>Either; preserve local logging and alarm path</t>
  </si>
  <si>
    <t>Waste water monitoring</t>
  </si>
  <si>
    <t>Remote outdoor assets</t>
  </si>
  <si>
    <t>Level/quality/status metadata; no raw waveforms</t>
  </si>
  <si>
    <t>NB-IoT usually favoured for dispersed remote assets</t>
  </si>
  <si>
    <t>Water temperature</t>
  </si>
  <si>
    <t>Remote / plantroom</t>
  </si>
  <si>
    <t>Periodic readings and threshold alarms</t>
  </si>
  <si>
    <t>Either; LoRaWAN when sites share coverage</t>
  </si>
  <si>
    <t>Water flow</t>
  </si>
  <si>
    <t>Pulse/flow total and anomaly alarm</t>
  </si>
  <si>
    <t>Either; NB-IoT is simpler when widely dispersed</t>
  </si>
  <si>
    <t>Water leak detection</t>
  </si>
  <si>
    <t>Indoor dense estate</t>
  </si>
  <si>
    <t>Immediate event; local shut-off must not depend on cloud</t>
  </si>
  <si>
    <t>LoRaWAN for density; NB-IoT for standalone premises</t>
  </si>
  <si>
    <t>Acoustic sensors</t>
  </si>
  <si>
    <t>Water / machinery</t>
  </si>
  <si>
    <t>Edge-derived dB/features only; raw audio is unsuitable</t>
  </si>
  <si>
    <t>NB-IoT for dispersed water loggers; either on campus</t>
  </si>
  <si>
    <t>Bin fill level — ultrasonic</t>
  </si>
  <si>
    <t>Distributed bins</t>
  </si>
  <si>
    <t>Distance/fill percentage and alarms</t>
  </si>
  <si>
    <t>NB-IoT for citywide assets; LoRaWAN on campus/private estate</t>
  </si>
  <si>
    <t>Optical bin sensors / computer vision</t>
  </si>
  <si>
    <t>On-device inference only; do not send images over LPWAN</t>
  </si>
  <si>
    <t>Use LTE-M/LTE/5G if images are required; LPWAN only for metadata</t>
  </si>
  <si>
    <t>Vibration sensors</t>
  </si>
  <si>
    <t>Plant and machinery</t>
  </si>
  <si>
    <t>Edge-computed RMS/FFT features; raw high-rate waveform unsuitable</t>
  </si>
  <si>
    <t>Either for features; wired/Wi-Fi/LTE for raw waveform</t>
  </si>
  <si>
    <t>Pressure sensors — medical gases</t>
  </si>
  <si>
    <t>Clinical plantrooms</t>
  </si>
  <si>
    <t>Secondary monitoring only; retain compliant wired alarms</t>
  </si>
  <si>
    <t>LPWAN may supplement, never replace, the safety alarm system</t>
  </si>
  <si>
    <t>Ultrasonic non-invasive — medical gases</t>
  </si>
  <si>
    <t>Clinical cylinders / pipes</t>
  </si>
  <si>
    <t>Secondary level/flow telemetry with local fail-safe</t>
  </si>
  <si>
    <t>Either as supplementary telemetry; validate clinical compliance</t>
  </si>
  <si>
    <t>Decision Guide</t>
  </si>
  <si>
    <t>Cost follows architecture. Apply these gates before accepting the cheapest five-year TCO.</t>
  </si>
  <si>
    <t>Question</t>
  </si>
  <si>
    <t>LoRaWAN signal</t>
  </si>
  <si>
    <t>NB-IoT signal</t>
  </si>
  <si>
    <t>Preferred direction</t>
  </si>
  <si>
    <t>Risk / caveat</t>
  </si>
  <si>
    <t>Action</t>
  </si>
  <si>
    <t>Are devices concentrated in owned buildings/campus?</t>
  </si>
  <si>
    <t>Strong</t>
  </si>
  <si>
    <t>Neutral</t>
  </si>
  <si>
    <t>Gateway resilience and backhaul become your responsibility</t>
  </si>
  <si>
    <t>RF survey; test plantrooms, basements and risers</t>
  </si>
  <si>
    <t>Are devices geographically dispersed?</t>
  </si>
  <si>
    <t>Weak unless public LoRaWAN exists</t>
  </si>
  <si>
    <t>Coverage is operator-dependent and can vary indoors/underground</t>
  </si>
  <si>
    <t>Check carrier coverage and test with target SIM/device</t>
  </si>
  <si>
    <t>Is payload small and infrequent?</t>
  </si>
  <si>
    <t>Either</t>
  </si>
  <si>
    <t>Frequent downlinks reduce battery life</t>
  </si>
  <si>
    <t>Define bytes/message, messages/day and alarm bursts</t>
  </si>
  <si>
    <t>Are images, video, raw audio or raw waveforms required?</t>
  </si>
  <si>
    <t>Unsuitable</t>
  </si>
  <si>
    <t>Usually unsuitable</t>
  </si>
  <si>
    <t>LTE-M/LTE/5G/Wi-Fi/wired</t>
  </si>
  <si>
    <t>Edge processing may turn raw data into tiny metadata</t>
  </si>
  <si>
    <t>Specify raw vs edge-derived data explicitly</t>
  </si>
  <si>
    <t>Is an immediate local safety action required?</t>
  </si>
  <si>
    <t>Cloud path insufficient</t>
  </si>
  <si>
    <t>Local/wired fail-safe</t>
  </si>
  <si>
    <t>LPWAN latency, outage and battery state cannot be the sole safety layer</t>
  </si>
  <si>
    <t>Keep local control and use LPWAN for supervisory telemetry</t>
  </si>
  <si>
    <t>Will a battery visit be expensive?</t>
  </si>
  <si>
    <t>Often strongest</t>
  </si>
  <si>
    <t>Good</t>
  </si>
  <si>
    <t>Compare tested battery life</t>
  </si>
  <si>
    <t>Coverage enhancement and retry behaviour can dominate battery life</t>
  </si>
  <si>
    <t>Pilot in worst-case radio locations</t>
  </si>
  <si>
    <t>Do you require two-way frequent control?</t>
  </si>
  <si>
    <t>Limited downlink capacity</t>
  </si>
  <si>
    <t>Better but still LPWA</t>
  </si>
  <si>
    <t>Consider LTE-M/Wi-Fi/wired</t>
  </si>
  <si>
    <t>Battery and latency may be unacceptable</t>
  </si>
  <si>
    <t>Define latency, acknowledgement and retry requirements</t>
  </si>
  <si>
    <t>Do you need to avoid local infrastructure?</t>
  </si>
  <si>
    <t>No</t>
  </si>
  <si>
    <t>Yes</t>
  </si>
  <si>
    <t>Recurring carrier/vendor dependency replaces gateway ownership</t>
  </si>
  <si>
    <t>Review contract, roaming and exit strategy</t>
  </si>
  <si>
    <t>Suitability score: 5 = natural fit; 4 = good fit; 3 = conditional; 2 = major constraint; 1 = unsuitable for the stated behaviour.</t>
  </si>
  <si>
    <t>Sources &amp; Evidence Log</t>
  </si>
  <si>
    <t>Public sources support the benchmark and technical boundaries. Vendor quotations should replace indicative prices before procurement.</t>
  </si>
  <si>
    <t>Topic</t>
  </si>
  <si>
    <t>Evidence used</t>
  </si>
  <si>
    <t>URL</t>
  </si>
  <si>
    <t>Accessed</t>
  </si>
  <si>
    <t>Type</t>
  </si>
  <si>
    <t>Model impact</t>
  </si>
  <si>
    <t>NB-IoT tariff</t>
  </si>
  <si>
    <t>Vendor primary</t>
  </si>
  <si>
    <t>GBP/EUR</t>
  </si>
  <si>
    <t>ECB reference rate: £0.85388 per €1 on 24 Jul 2026</t>
  </si>
  <si>
    <t>Official</t>
  </si>
  <si>
    <t>Currency conversion</t>
  </si>
  <si>
    <t>UK NB-IoT reach</t>
  </si>
  <si>
    <t>BT/EE announced NB-IoT coverage of 97% of UK population</t>
  </si>
  <si>
    <t>https://newsroom.bt.com/bt-launches-multi-million-pound-nb-iot-network-to-support-uk-smart-cities/</t>
  </si>
  <si>
    <t>Operator primary</t>
  </si>
  <si>
    <t>Supports dispersed-asset option; location testing still required</t>
  </si>
  <si>
    <t>UK NB-IoT use case</t>
  </si>
  <si>
    <t>Vodafone NB-IoT supports leak detection without Wi-Fi</t>
  </si>
  <si>
    <t>https://www.vodafone.co.uk/business/case-studies/leaksafe-and-vodafone-business-narrowband-iot</t>
  </si>
  <si>
    <t>Leak detection fit</t>
  </si>
  <si>
    <t>Acoustic water logging</t>
  </si>
  <si>
    <t>Vodafone says NB-IoT improved underground reach and power versus 3G/4G</t>
  </si>
  <si>
    <t>https://www.vodafone.co.uk/business/case-studies/nb-iot-gutermann</t>
  </si>
  <si>
    <t>Acoustic/dispersed water fit</t>
  </si>
  <si>
    <t>NB-IoT bandwidth boundary</t>
  </si>
  <si>
    <t>Vodafone describes NB-IoT as supporting small amounts of data</t>
  </si>
  <si>
    <t>https://www.vodafone.co.uk/business/iot/iot-faqs</t>
  </si>
  <si>
    <t>Excludes video/raw high-rate data</t>
  </si>
  <si>
    <t>LoRaWAN smart buildings</t>
  </si>
  <si>
    <t>LoRa Alliance identifies environmental, leak, occupancy, metering and predictive-maintenance applications</t>
  </si>
  <si>
    <t>https://lora-alliance.org/buildings-vertical-market/</t>
  </si>
  <si>
    <t>Industry body</t>
  </si>
  <si>
    <t>Building/campus suitability</t>
  </si>
  <si>
    <t>LoRaWAN/NB-IoT comparison</t>
  </si>
  <si>
    <t>LoRaWAN evidence for smart buildings and utilities</t>
  </si>
  <si>
    <t>https://lora-alliance.org/wp-content/uploads/2020/11/cr-lora-102_lorawanr_and_nb-iot.pdf</t>
  </si>
  <si>
    <t>Industry white paper</t>
  </si>
  <si>
    <t>Category fit scoring</t>
  </si>
  <si>
    <t>LoRa gateway</t>
  </si>
  <si>
    <t>UG65 supports indoor deployments and up to 2,000 devices</t>
  </si>
  <si>
    <t>https://www.milesight.com/iot/product/lorawan-gateway/ug65</t>
  </si>
  <si>
    <t>Gateway capacity assumption</t>
  </si>
  <si>
    <t>UK device/gateway pricing</t>
  </si>
  <si>
    <t>Public UK prices for LoRaWAN, NB-IoT sensors and gateways</t>
  </si>
  <si>
    <t>Distributor</t>
  </si>
  <si>
    <t>Hardware planning benchmarks</t>
  </si>
  <si>
    <t>LoRaWAN server</t>
  </si>
  <si>
    <t>The Things Stack provides managed cloud and free discovery tier</t>
  </si>
  <si>
    <t>https://www.thethingsindustries.com/stack/plans/</t>
  </si>
  <si>
    <t>Network-server architecture</t>
  </si>
  <si>
    <t>LoRaWAN server price anchor</t>
  </si>
  <si>
    <t>AWS Marketplace lists $0.336/hour to register up to 1,000 devices</t>
  </si>
  <si>
    <t>Marketplace</t>
  </si>
  <si>
    <t>£0.20/device/month planning benchmark at scale</t>
  </si>
  <si>
    <t>LPWA comparison</t>
  </si>
  <si>
    <t>GSMA compares bandwidth, latency, battery, spectrum and module cost across NB-IoT and LoRaWAN</t>
  </si>
  <si>
    <t>https://www.gsma.com/solutions-and-impact/connectivity-for-good/mobile-for-development/wp-content/uploads/2023/04/IoT-for-Development-Use-cases-delivering-impact.pdf</t>
  </si>
  <si>
    <t>Technical decision gates</t>
  </si>
  <si>
    <t>NB-IoT monthly connectivity</t>
  </si>
  <si>
    <t>User-provided tariff</t>
  </si>
  <si>
    <t>Applied for every month in the analysis horizon</t>
  </si>
  <si>
    <t>NB-IoT SIM / activation one-off fee</t>
  </si>
  <si>
    <t>Charged once per device</t>
  </si>
  <si>
    <t>MB/device/month</t>
  </si>
  <si>
    <t>Monthly allowance; overage is charged separately</t>
  </si>
  <si>
    <t>NB-IoT data overage</t>
  </si>
  <si>
    <t>£/MB</t>
  </si>
  <si>
    <t>Applied to monthly usage above 17 MB per device</t>
  </si>
  <si>
    <t>NB device &amp; tariff</t>
  </si>
  <si>
    <t>NB data overage</t>
  </si>
  <si>
    <t>£0.98/device/month plus £0.70 one-off; includes 17 MB/device/month</t>
  </si>
  <si>
    <t>User input</t>
  </si>
  <si>
    <t>NB recurring connectivity, one-off fee and included-data inputs</t>
  </si>
  <si>
    <t>NB-IoT overage</t>
  </si>
  <si>
    <t>£0.01/MB above 17 MB/device/month</t>
  </si>
  <si>
    <t>NB monthly data-overage formula</t>
  </si>
  <si>
    <t>At the current inputs, NB-IoT is lower cost in 15 technically viable categories and LoRaWAN in 1. The revised tariff applies £0.98 per device per month across the analysis horizon plus a £0.70 one-off fee, includes 17 MB per device per month, and charges £0.01 per excess MB. LoRaWAN can still catch up where many devices share each gateway. This remains a cost model, not a performance verdict; apply the technical gates before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</si>
</sst>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£#,##0.00"/>
    <numFmt numFmtId="165" formatCode="0.0"/>
    <numFmt numFmtId="166" formatCode="0.00000"/>
    <numFmt numFmtId="167" formatCode="0.0%"/>
    <numFmt numFmtId="168" formatCode="0\ &quot;years&quot;"/>
    <numFmt numFmtId="169" formatCode="yyyy\-mm\-dd"/>
    <numFmt numFmtId="170" formatCode="\£0.00"/>
  </numFmts>
  <fonts count="12">
    <font>
      <sz val="11"/>
      <name val="Carlito"/>
    </font>
    <font>
      <b/>
      <sz val="18"/>
      <color rgb="FFFFFFFF"/>
      <name val="Carlito"/>
    </font>
    <font>
      <i/>
      <sz val="10"/>
      <color rgb="FF17324D"/>
      <name val="Carlito"/>
    </font>
    <font>
      <b/>
      <sz val="10"/>
      <color rgb="FFFFFFFF"/>
      <name val="Carlito"/>
    </font>
    <font>
      <b/>
      <sz val="11"/>
      <color rgb="FF145DA0"/>
      <name val="Carlito"/>
    </font>
    <font>
      <b/>
      <sz val="11"/>
      <color rgb="FF6A4B00"/>
      <name val="Carlito"/>
    </font>
    <font>
      <b/>
      <sz val="11"/>
      <color rgb="FF17324D"/>
      <name val="Carlito"/>
    </font>
    <font>
      <sz val="11"/>
      <color rgb="FF145DA0"/>
      <name val="Carlito"/>
    </font>
    <font>
      <b/>
      <sz val="11"/>
      <color rgb="FFFFFFFF"/>
      <name val="Carlito"/>
    </font>
    <font>
      <b/>
      <sz val="11"/>
      <color rgb="FF667085"/>
      <name val="Carlito"/>
    </font>
    <font>
      <b/>
      <sz val="14"/>
      <color rgb="FF17324D"/>
      <name val="Carlito"/>
    </font>
    <font>
      <b/>
      <sz val="11"/>
      <color rgb="FF5C43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7EDF3"/>
      </patternFill>
    </fill>
    <fill>
      <patternFill patternType="solid">
        <fgColor rgb="FF0F766E"/>
      </patternFill>
    </fill>
    <fill>
      <patternFill patternType="solid">
        <fgColor rgb="FFE8F1FB"/>
      </patternFill>
    </fill>
    <fill>
      <patternFill patternType="solid">
        <fgColor rgb="FFFFF3CD"/>
      </patternFill>
    </fill>
    <fill>
      <patternFill patternType="solid">
        <fgColor rgb="FFDDF3EF"/>
      </patternFill>
    </fill>
    <fill>
      <patternFill patternType="solid">
        <fgColor rgb="FFEEF2F6"/>
      </patternFill>
    </fill>
    <fill>
      <patternFill patternType="solid">
        <fgColor rgb="FFF7F9FB"/>
      </patternFill>
    </fill>
  </fills>
  <borders count="22">
    <border>
      <left/>
      <right/>
      <top/>
      <bottom/>
      <diagonal/>
    </border>
    <border>
      <left style="thin">
        <color rgb="FFB9C3CE"/>
      </left>
      <right/>
      <top style="thin">
        <color rgb="FFB9C3CE"/>
      </top>
      <bottom style="thin">
        <color rgb="FFB9C3CE"/>
      </bottom>
      <diagonal/>
    </border>
    <border>
      <left/>
      <right/>
      <top style="thin">
        <color rgb="FFB9C3CE"/>
      </top>
      <bottom style="thin">
        <color rgb="FFB9C3CE"/>
      </bottom>
      <diagonal/>
    </border>
    <border>
      <left/>
      <right style="thin">
        <color rgb="FFB9C3CE"/>
      </right>
      <top style="thin">
        <color rgb="FFB9C3CE"/>
      </top>
      <bottom style="thin">
        <color rgb="FFB9C3CE"/>
      </bottom>
      <diagonal/>
    </border>
    <border>
      <left style="thin">
        <color rgb="FFB9C3CE"/>
      </left>
      <right/>
      <top style="thin">
        <color rgb="FFB9C3CE"/>
      </top>
      <bottom/>
      <diagonal/>
    </border>
    <border>
      <left/>
      <right/>
      <top style="thin">
        <color rgb="FFB9C3CE"/>
      </top>
      <bottom/>
      <diagonal/>
    </border>
    <border>
      <left/>
      <right style="thin">
        <color rgb="FFB9C3CE"/>
      </right>
      <top style="thin">
        <color rgb="FFB9C3CE"/>
      </top>
      <bottom/>
      <diagonal/>
    </border>
    <border>
      <left style="thin">
        <color rgb="FFB9C3CE"/>
      </left>
      <right/>
      <top/>
      <bottom/>
      <diagonal/>
    </border>
    <border>
      <left/>
      <right style="thin">
        <color rgb="FFB9C3CE"/>
      </right>
      <top/>
      <bottom/>
      <diagonal/>
    </border>
    <border>
      <left style="thin">
        <color rgb="FFB9C3CE"/>
      </left>
      <right/>
      <top/>
      <bottom style="thin">
        <color rgb="FFB9C3CE"/>
      </bottom>
      <diagonal/>
    </border>
    <border>
      <left/>
      <right style="thin">
        <color rgb="FFB9C3CE"/>
      </right>
      <top/>
      <bottom style="thin">
        <color rgb="FFB9C3CE"/>
      </bottom>
      <diagonal/>
    </border>
    <border>
      <left/>
      <right/>
      <top/>
      <bottom style="thin">
        <color rgb="FFDCE2E8"/>
      </bottom>
      <diagonal/>
    </border>
    <border>
      <left/>
      <right/>
      <top style="thin">
        <color rgb="FFDCE2E8"/>
      </top>
      <bottom style="thin">
        <color rgb="FFDCE2E8"/>
      </bottom>
      <diagonal/>
    </border>
    <border>
      <left/>
      <right/>
      <top style="thin">
        <color rgb="FFDCE2E8"/>
      </top>
      <bottom/>
      <diagonal/>
    </border>
    <border>
      <left style="thin">
        <color rgb="FFD8C37A"/>
      </left>
      <right/>
      <top style="thin">
        <color rgb="FFD8C37A"/>
      </top>
      <bottom/>
      <diagonal/>
    </border>
    <border>
      <left/>
      <right/>
      <top style="thin">
        <color rgb="FFD8C37A"/>
      </top>
      <bottom/>
      <diagonal/>
    </border>
    <border>
      <left/>
      <right style="thin">
        <color rgb="FFD8C37A"/>
      </right>
      <top style="thin">
        <color rgb="FFD8C37A"/>
      </top>
      <bottom/>
      <diagonal/>
    </border>
    <border>
      <left style="thin">
        <color rgb="FFD8C37A"/>
      </left>
      <right/>
      <top/>
      <bottom/>
      <diagonal/>
    </border>
    <border>
      <left/>
      <right style="thin">
        <color rgb="FFD8C37A"/>
      </right>
      <top/>
      <bottom/>
      <diagonal/>
    </border>
    <border>
      <left style="thin">
        <color rgb="FFD8C37A"/>
      </left>
      <right/>
      <top/>
      <bottom style="thin">
        <color rgb="FFD8C37A"/>
      </bottom>
      <diagonal/>
    </border>
    <border>
      <left/>
      <right/>
      <top/>
      <bottom style="thin">
        <color rgb="FFD8C37A"/>
      </bottom>
      <diagonal/>
    </border>
    <border>
      <left/>
      <right style="thin">
        <color rgb="FFD8C37A"/>
      </right>
      <top/>
      <bottom style="thin">
        <color rgb="FFD8C37A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" fontId="4" fillId="5" borderId="0" xfId="0" applyNumberFormat="1" applyFont="1" applyFill="1" applyAlignment="1">
      <alignment wrapText="1"/>
    </xf>
    <xf numFmtId="164" fontId="4" fillId="5" borderId="0" xfId="0" applyNumberFormat="1" applyFont="1" applyFill="1" applyAlignment="1">
      <alignment wrapText="1"/>
    </xf>
    <xf numFmtId="165" fontId="4" fillId="5" borderId="0" xfId="0" applyNumberFormat="1" applyFont="1" applyFill="1" applyAlignment="1">
      <alignment wrapText="1"/>
    </xf>
    <xf numFmtId="166" fontId="4" fillId="5" borderId="0" xfId="0" applyNumberFormat="1" applyFont="1" applyFill="1" applyAlignment="1">
      <alignment wrapText="1"/>
    </xf>
    <xf numFmtId="0" fontId="0" fillId="0" borderId="7" xfId="0" applyBorder="1"/>
    <xf numFmtId="0" fontId="0" fillId="0" borderId="8" xfId="0" applyBorder="1"/>
    <xf numFmtId="0" fontId="6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1" xfId="0" applyBorder="1" applyAlignment="1">
      <alignment vertical="top" wrapText="1"/>
    </xf>
    <xf numFmtId="1" fontId="7" fillId="5" borderId="11" xfId="0" applyNumberFormat="1" applyFont="1" applyFill="1" applyBorder="1" applyAlignment="1">
      <alignment vertical="top" wrapText="1"/>
    </xf>
    <xf numFmtId="164" fontId="7" fillId="5" borderId="11" xfId="0" applyNumberFormat="1" applyFont="1" applyFill="1" applyBorder="1" applyAlignment="1">
      <alignment vertical="top" wrapText="1"/>
    </xf>
    <xf numFmtId="165" fontId="7" fillId="5" borderId="11" xfId="0" applyNumberFormat="1" applyFont="1" applyFill="1" applyBorder="1" applyAlignment="1">
      <alignment vertical="top" wrapText="1"/>
    </xf>
    <xf numFmtId="164" fontId="0" fillId="0" borderId="11" xfId="0" applyNumberFormat="1" applyBorder="1" applyAlignment="1">
      <alignment vertical="top" wrapText="1"/>
    </xf>
    <xf numFmtId="0" fontId="0" fillId="0" borderId="12" xfId="0" applyBorder="1" applyAlignment="1">
      <alignment vertical="top" wrapText="1"/>
    </xf>
    <xf numFmtId="1" fontId="7" fillId="5" borderId="12" xfId="0" applyNumberFormat="1" applyFont="1" applyFill="1" applyBorder="1" applyAlignment="1">
      <alignment vertical="top" wrapText="1"/>
    </xf>
    <xf numFmtId="164" fontId="7" fillId="5" borderId="12" xfId="0" applyNumberFormat="1" applyFont="1" applyFill="1" applyBorder="1" applyAlignment="1">
      <alignment vertical="top" wrapText="1"/>
    </xf>
    <xf numFmtId="165" fontId="7" fillId="5" borderId="12" xfId="0" applyNumberFormat="1" applyFont="1" applyFill="1" applyBorder="1" applyAlignment="1">
      <alignment vertical="top" wrapText="1"/>
    </xf>
    <xf numFmtId="164" fontId="0" fillId="0" borderId="12" xfId="0" applyNumberForma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0" fillId="7" borderId="11" xfId="0" applyFill="1" applyBorder="1" applyAlignment="1">
      <alignment vertical="top" wrapText="1"/>
    </xf>
    <xf numFmtId="0" fontId="0" fillId="7" borderId="12" xfId="0" applyFill="1" applyBorder="1" applyAlignment="1">
      <alignment vertical="top" wrapText="1"/>
    </xf>
    <xf numFmtId="0" fontId="0" fillId="7" borderId="13" xfId="0" applyFill="1" applyBorder="1" applyAlignment="1">
      <alignment vertical="top" wrapText="1"/>
    </xf>
    <xf numFmtId="164" fontId="0" fillId="8" borderId="11" xfId="0" applyNumberFormat="1" applyFill="1" applyBorder="1" applyAlignment="1">
      <alignment vertical="top" wrapText="1"/>
    </xf>
    <xf numFmtId="167" fontId="0" fillId="8" borderId="11" xfId="0" applyNumberFormat="1" applyFill="1" applyBorder="1" applyAlignment="1">
      <alignment vertical="top" wrapText="1"/>
    </xf>
    <xf numFmtId="1" fontId="0" fillId="8" borderId="11" xfId="0" applyNumberFormat="1" applyFill="1" applyBorder="1" applyAlignment="1">
      <alignment vertical="top" wrapText="1"/>
    </xf>
    <xf numFmtId="0" fontId="0" fillId="8" borderId="11" xfId="0" applyFill="1" applyBorder="1" applyAlignment="1">
      <alignment vertical="top" wrapText="1"/>
    </xf>
    <xf numFmtId="164" fontId="0" fillId="8" borderId="12" xfId="0" applyNumberFormat="1" applyFill="1" applyBorder="1" applyAlignment="1">
      <alignment vertical="top" wrapText="1"/>
    </xf>
    <xf numFmtId="167" fontId="0" fillId="8" borderId="12" xfId="0" applyNumberFormat="1" applyFill="1" applyBorder="1" applyAlignment="1">
      <alignment vertical="top" wrapText="1"/>
    </xf>
    <xf numFmtId="1" fontId="0" fillId="8" borderId="12" xfId="0" applyNumberFormat="1" applyFill="1" applyBorder="1" applyAlignment="1">
      <alignment vertical="top" wrapText="1"/>
    </xf>
    <xf numFmtId="0" fontId="0" fillId="8" borderId="12" xfId="0" applyFill="1" applyBorder="1" applyAlignment="1">
      <alignment vertical="top" wrapText="1"/>
    </xf>
    <xf numFmtId="0" fontId="9" fillId="9" borderId="4" xfId="0" applyFont="1" applyFill="1" applyBorder="1"/>
    <xf numFmtId="0" fontId="9" fillId="9" borderId="7" xfId="0" applyFont="1" applyFill="1" applyBorder="1"/>
    <xf numFmtId="0" fontId="9" fillId="9" borderId="9" xfId="0" applyFont="1" applyFill="1" applyBorder="1"/>
    <xf numFmtId="0" fontId="10" fillId="9" borderId="6" xfId="0" applyFont="1" applyFill="1" applyBorder="1"/>
    <xf numFmtId="0" fontId="10" fillId="9" borderId="8" xfId="0" applyFont="1" applyFill="1" applyBorder="1"/>
    <xf numFmtId="168" fontId="10" fillId="9" borderId="10" xfId="0" applyNumberFormat="1" applyFont="1" applyFill="1" applyBorder="1"/>
    <xf numFmtId="169" fontId="0" fillId="0" borderId="11" xfId="0" applyNumberFormat="1" applyBorder="1" applyAlignment="1">
      <alignment vertical="top" wrapText="1"/>
    </xf>
    <xf numFmtId="169" fontId="0" fillId="0" borderId="12" xfId="0" applyNumberFormat="1" applyBorder="1" applyAlignment="1">
      <alignment vertical="top" wrapText="1"/>
    </xf>
    <xf numFmtId="169" fontId="0" fillId="0" borderId="13" xfId="0" applyNumberForma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11" fillId="6" borderId="14" xfId="0" applyFont="1" applyFill="1" applyBorder="1" applyAlignment="1">
      <alignment vertical="center" wrapText="1"/>
    </xf>
    <xf numFmtId="0" fontId="11" fillId="6" borderId="15" xfId="0" applyFont="1" applyFill="1" applyBorder="1" applyAlignment="1">
      <alignment vertical="center" wrapText="1"/>
    </xf>
    <xf numFmtId="0" fontId="11" fillId="6" borderId="16" xfId="0" applyFont="1" applyFill="1" applyBorder="1" applyAlignment="1">
      <alignment vertical="center" wrapText="1"/>
    </xf>
    <xf numFmtId="0" fontId="11" fillId="6" borderId="17" xfId="0" applyFont="1" applyFill="1" applyBorder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1" fillId="6" borderId="18" xfId="0" applyFont="1" applyFill="1" applyBorder="1" applyAlignment="1">
      <alignment vertical="center" wrapText="1"/>
    </xf>
    <xf numFmtId="0" fontId="11" fillId="6" borderId="19" xfId="0" applyFont="1" applyFill="1" applyBorder="1" applyAlignment="1">
      <alignment vertical="center" wrapText="1"/>
    </xf>
    <xf numFmtId="0" fontId="11" fillId="6" borderId="20" xfId="0" applyFont="1" applyFill="1" applyBorder="1" applyAlignment="1">
      <alignment vertical="center" wrapText="1"/>
    </xf>
    <xf numFmtId="0" fontId="11" fillId="6" borderId="2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5" fillId="6" borderId="0" xfId="0" applyFont="1" applyFill="1" applyAlignment="1">
      <alignment wrapText="1"/>
    </xf>
    <xf numFmtId="170" fontId="4" fillId="5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Five-year TCO per device by category (£)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LoRaWAN</c:v>
          </c:tx>
          <c:invertIfNegative val="1"/>
          <c:cat>
            <c:strRef>
              <c:f>Summary!$T$13:$T$28</c:f>
              <c:strCache>
                <c:ptCount val="15"/>
                <c:pt idx="0">
                  <c:v>IAQ sensors</c:v>
                </c:pt>
                <c:pt idx="1">
                  <c:v>Parking bay sensors</c:v>
                </c:pt>
                <c:pt idx="2">
                  <c:v>Room displays</c:v>
                </c:pt>
                <c:pt idx="3">
                  <c:v>Lux sensors</c:v>
                </c:pt>
                <c:pt idx="4">
                  <c:v>Metering — electricity and water</c:v>
                </c:pt>
                <c:pt idx="5">
                  <c:v>Fridge / process temperature</c:v>
                </c:pt>
                <c:pt idx="6">
                  <c:v>Waste water monitoring</c:v>
                </c:pt>
                <c:pt idx="7">
                  <c:v>Water temperature</c:v>
                </c:pt>
                <c:pt idx="8">
                  <c:v>Water flow</c:v>
                </c:pt>
                <c:pt idx="9">
                  <c:v>Water leak detection</c:v>
                </c:pt>
                <c:pt idx="10">
                  <c:v>Acoustic sensors</c:v>
                </c:pt>
                <c:pt idx="11">
                  <c:v>Bin fill level — ultrasonic</c:v>
                </c:pt>
                <c:pt idx="12">
                  <c:v>Vibration sensors</c:v>
                </c:pt>
                <c:pt idx="13">
                  <c:v>Pressure sensors — medical gases</c:v>
                </c:pt>
                <c:pt idx="14">
                  <c:v>Ultrasonic non-invasive — medical gases</c:v>
                </c:pt>
              </c:strCache>
            </c:strRef>
          </c:cat>
          <c:val>
            <c:numRef>
              <c:f>Summary!$U$13:$U$28</c:f>
              <c:numCache>
                <c:formatCode>General</c:formatCode>
                <c:ptCount val="16"/>
                <c:pt idx="0">
                  <c:v>284.05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D-410B-BEF8-33F03FA2EA2E}"/>
            </c:ext>
          </c:extLst>
        </c:ser>
        <c:ser>
          <c:idx val="1"/>
          <c:order val="1"/>
          <c:tx>
            <c:v>NB-IoT</c:v>
          </c:tx>
          <c:invertIfNegative val="1"/>
          <c:cat>
            <c:strRef>
              <c:f>Summary!$T$13:$T$28</c:f>
              <c:strCache>
                <c:ptCount val="15"/>
                <c:pt idx="0">
                  <c:v>IAQ sensors</c:v>
                </c:pt>
                <c:pt idx="1">
                  <c:v>Parking bay sensors</c:v>
                </c:pt>
                <c:pt idx="2">
                  <c:v>Room displays</c:v>
                </c:pt>
                <c:pt idx="3">
                  <c:v>Lux sensors</c:v>
                </c:pt>
                <c:pt idx="4">
                  <c:v>Metering — electricity and water</c:v>
                </c:pt>
                <c:pt idx="5">
                  <c:v>Fridge / process temperature</c:v>
                </c:pt>
                <c:pt idx="6">
                  <c:v>Waste water monitoring</c:v>
                </c:pt>
                <c:pt idx="7">
                  <c:v>Water temperature</c:v>
                </c:pt>
                <c:pt idx="8">
                  <c:v>Water flow</c:v>
                </c:pt>
                <c:pt idx="9">
                  <c:v>Water leak detection</c:v>
                </c:pt>
                <c:pt idx="10">
                  <c:v>Acoustic sensors</c:v>
                </c:pt>
                <c:pt idx="11">
                  <c:v>Bin fill level — ultrasonic</c:v>
                </c:pt>
                <c:pt idx="12">
                  <c:v>Vibration sensors</c:v>
                </c:pt>
                <c:pt idx="13">
                  <c:v>Pressure sensors — medical gases</c:v>
                </c:pt>
                <c:pt idx="14">
                  <c:v>Ultrasonic non-invasive — medical gases</c:v>
                </c:pt>
              </c:strCache>
            </c:strRef>
          </c:cat>
          <c:val>
            <c:numRef>
              <c:f>Summary!$V$13:$V$28</c:f>
              <c:numCache>
                <c:formatCode>General</c:formatCode>
                <c:ptCount val="16"/>
                <c:pt idx="0">
                  <c:v>356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AD-410B-BEF8-33F03FA2E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showGridLines="0" tabSelected="1" zoomScale="85" zoomScaleNormal="85" workbookViewId="0">
      <selection activeCell="G27" sqref="G27"/>
    </sheetView>
  </sheetViews>
  <sheetFormatPr defaultRowHeight="13.8"/>
  <cols>
    <col min="1" max="1" width="31" customWidth="1"/>
    <col min="2" max="3" width="11" customWidth="1"/>
    <col min="4" max="6" width="15" customWidth="1"/>
    <col min="7" max="7" width="48" customWidth="1"/>
    <col min="8" max="8" width="13" customWidth="1"/>
    <col min="20" max="20" width="35.3984375" bestFit="1" customWidth="1"/>
    <col min="21" max="21" width="9.3984375" bestFit="1" customWidth="1"/>
    <col min="22" max="22" width="9.09765625" customWidth="1"/>
  </cols>
  <sheetData>
    <row r="1" spans="1:22" ht="25.95" customHeight="1">
      <c r="A1" s="51" t="s">
        <v>0</v>
      </c>
      <c r="B1" s="51" t="s">
        <v>0</v>
      </c>
      <c r="C1" s="51" t="s">
        <v>0</v>
      </c>
      <c r="D1" s="51" t="s">
        <v>0</v>
      </c>
      <c r="E1" s="51" t="s">
        <v>0</v>
      </c>
      <c r="F1" s="51" t="s">
        <v>0</v>
      </c>
      <c r="G1" s="51" t="s">
        <v>0</v>
      </c>
      <c r="H1" s="51" t="s">
        <v>0</v>
      </c>
    </row>
    <row r="2" spans="1:22" ht="25.95" customHeight="1">
      <c r="A2" s="52" t="s">
        <v>1</v>
      </c>
      <c r="B2" s="52" t="s">
        <v>1</v>
      </c>
      <c r="C2" s="52" t="s">
        <v>1</v>
      </c>
      <c r="D2" s="52" t="s">
        <v>1</v>
      </c>
      <c r="E2" s="52" t="s">
        <v>1</v>
      </c>
      <c r="F2" s="52" t="s">
        <v>1</v>
      </c>
      <c r="G2" s="52" t="s">
        <v>1</v>
      </c>
      <c r="H2" s="52" t="s">
        <v>1</v>
      </c>
    </row>
    <row r="4" spans="1:22">
      <c r="A4" s="53" t="s">
        <v>2</v>
      </c>
      <c r="B4" s="53" t="s">
        <v>2</v>
      </c>
      <c r="D4" s="53" t="s">
        <v>3</v>
      </c>
      <c r="E4" s="53" t="s">
        <v>3</v>
      </c>
      <c r="F4" s="53" t="s">
        <v>3</v>
      </c>
      <c r="G4" s="53" t="s">
        <v>3</v>
      </c>
      <c r="H4" s="53" t="s">
        <v>3</v>
      </c>
    </row>
    <row r="5" spans="1:22" ht="17.399999999999999">
      <c r="A5" s="39" t="s">
        <v>4</v>
      </c>
      <c r="B5" s="42">
        <f>COUNTA('Category Model'!A5:A20)</f>
        <v>16</v>
      </c>
      <c r="D5" s="54" t="s">
        <v>294</v>
      </c>
      <c r="E5" s="55"/>
      <c r="F5" s="55"/>
      <c r="G5" s="55"/>
      <c r="H5" s="56"/>
    </row>
    <row r="6" spans="1:22" ht="17.399999999999999">
      <c r="A6" s="40" t="s">
        <v>5</v>
      </c>
      <c r="B6" s="43">
        <f>COUNTIF('Category Model'!AB5:AB20,"LoRaWAN")</f>
        <v>1</v>
      </c>
      <c r="D6" s="57"/>
      <c r="E6" s="58"/>
      <c r="F6" s="58"/>
      <c r="G6" s="58"/>
      <c r="H6" s="59"/>
    </row>
    <row r="7" spans="1:22" ht="17.399999999999999">
      <c r="A7" s="40" t="s">
        <v>6</v>
      </c>
      <c r="B7" s="43">
        <f>COUNTIF('Category Model'!AB5:AB20,"NB-IoT")</f>
        <v>14</v>
      </c>
      <c r="D7" s="57"/>
      <c r="E7" s="58"/>
      <c r="F7" s="58"/>
      <c r="G7" s="58"/>
      <c r="H7" s="59"/>
    </row>
    <row r="8" spans="1:22" ht="17.399999999999999">
      <c r="A8" s="40" t="s">
        <v>7</v>
      </c>
      <c r="B8" s="43">
        <f>COUNTIF('Category Model'!AE5:AE20,"Technical constraint dominates cost")</f>
        <v>1</v>
      </c>
      <c r="D8" s="57"/>
      <c r="E8" s="58"/>
      <c r="F8" s="58"/>
      <c r="G8" s="58"/>
      <c r="H8" s="59"/>
    </row>
    <row r="9" spans="1:22" ht="17.399999999999999">
      <c r="A9" s="41" t="s">
        <v>8</v>
      </c>
      <c r="B9" s="44">
        <f>Assumptions!B5</f>
        <v>5</v>
      </c>
      <c r="D9" s="60"/>
      <c r="E9" s="61"/>
      <c r="F9" s="61"/>
      <c r="G9" s="61"/>
      <c r="H9" s="62"/>
    </row>
    <row r="12" spans="1:22" ht="36" customHeight="1">
      <c r="A12" s="1" t="s">
        <v>9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3" t="s">
        <v>16</v>
      </c>
      <c r="T12" t="s">
        <v>9</v>
      </c>
      <c r="U12" t="s">
        <v>17</v>
      </c>
      <c r="V12" t="s">
        <v>18</v>
      </c>
    </row>
    <row r="13" spans="1:22" ht="15" customHeight="1">
      <c r="A13" s="25" t="str">
        <f>'Category Model'!A5</f>
        <v>IAQ sensors</v>
      </c>
      <c r="B13" s="14">
        <f>'Category Model'!K5</f>
        <v>5</v>
      </c>
      <c r="C13" s="14">
        <f>'Category Model'!L5</f>
        <v>4</v>
      </c>
      <c r="D13" s="18">
        <f>ROUND('Category Model'!U5,2)</f>
        <v>284.05</v>
      </c>
      <c r="E13" s="18">
        <f>ROUND('Category Model'!Z5,2)</f>
        <v>356</v>
      </c>
      <c r="F13" s="14" t="str">
        <f>'Category Model'!AB5</f>
        <v>LoRaWAN</v>
      </c>
      <c r="G13" s="28" t="str">
        <f>'Category Model'!N5</f>
        <v>LoRaWAN for dense estates; NB-IoT for isolated buildings</v>
      </c>
      <c r="H13" s="14" t="str">
        <f>'Category Model'!O5</f>
        <v>Medium</v>
      </c>
      <c r="T13" t="str">
        <f t="shared" ref="T13:T27" si="0">A13</f>
        <v>IAQ sensors</v>
      </c>
      <c r="U13">
        <f t="shared" ref="U13:U27" si="1">D13</f>
        <v>284.05</v>
      </c>
      <c r="V13">
        <f t="shared" ref="V13:V27" si="2">E13</f>
        <v>356</v>
      </c>
    </row>
    <row r="14" spans="1:22" ht="15" customHeight="1">
      <c r="A14" s="26" t="str">
        <f>'Category Model'!A6</f>
        <v>Parking bay sensors</v>
      </c>
      <c r="B14" s="19">
        <f>'Category Model'!K6</f>
        <v>5</v>
      </c>
      <c r="C14" s="19">
        <f>'Category Model'!L6</f>
        <v>5</v>
      </c>
      <c r="D14" s="23" t="e">
        <f>ROUND('Category Model'!U6,2)</f>
        <v>#DIV/0!</v>
      </c>
      <c r="E14" s="23" t="e">
        <f>ROUND('Category Model'!Z6,2)</f>
        <v>#DIV/0!</v>
      </c>
      <c r="F14" s="19" t="str">
        <f>'Category Model'!AB6</f>
        <v>NB-IoT</v>
      </c>
      <c r="G14" s="29" t="str">
        <f>'Category Model'!N6</f>
        <v>LoRaWAN on owned campus; NB-IoT for dispersed street assets</v>
      </c>
      <c r="H14" s="19" t="str">
        <f>'Category Model'!O6</f>
        <v>Medium</v>
      </c>
      <c r="T14" t="str">
        <f t="shared" si="0"/>
        <v>Parking bay sensors</v>
      </c>
      <c r="U14" t="e">
        <f t="shared" si="1"/>
        <v>#DIV/0!</v>
      </c>
      <c r="V14" t="e">
        <f t="shared" si="2"/>
        <v>#DIV/0!</v>
      </c>
    </row>
    <row r="15" spans="1:22" ht="15" customHeight="1">
      <c r="A15" s="26" t="str">
        <f>'Category Model'!A7</f>
        <v>Room displays</v>
      </c>
      <c r="B15" s="19">
        <f>'Category Model'!K7</f>
        <v>3</v>
      </c>
      <c r="C15" s="19">
        <f>'Category Model'!L7</f>
        <v>3</v>
      </c>
      <c r="D15" s="23" t="e">
        <f>ROUND('Category Model'!U7,2)</f>
        <v>#DIV/0!</v>
      </c>
      <c r="E15" s="23" t="e">
        <f>ROUND('Category Model'!Z7,2)</f>
        <v>#DIV/0!</v>
      </c>
      <c r="F15" s="19" t="str">
        <f>'Category Model'!AB7</f>
        <v>NB-IoT</v>
      </c>
      <c r="G15" s="29" t="str">
        <f>'Category Model'!N7</f>
        <v>LoRaWAN for simple e-ink; Wi-Fi/Ethernet for rich displays</v>
      </c>
      <c r="H15" s="19" t="str">
        <f>'Category Model'!O7</f>
        <v>Low</v>
      </c>
      <c r="T15" t="str">
        <f t="shared" si="0"/>
        <v>Room displays</v>
      </c>
      <c r="U15" t="e">
        <f t="shared" si="1"/>
        <v>#DIV/0!</v>
      </c>
      <c r="V15" t="e">
        <f t="shared" si="2"/>
        <v>#DIV/0!</v>
      </c>
    </row>
    <row r="16" spans="1:22" ht="15" customHeight="1">
      <c r="A16" s="26" t="str">
        <f>'Category Model'!A8</f>
        <v>Lux sensors</v>
      </c>
      <c r="B16" s="19">
        <f>'Category Model'!K8</f>
        <v>5</v>
      </c>
      <c r="C16" s="19">
        <f>'Category Model'!L8</f>
        <v>4</v>
      </c>
      <c r="D16" s="23" t="e">
        <f>ROUND('Category Model'!U8,2)</f>
        <v>#DIV/0!</v>
      </c>
      <c r="E16" s="23" t="e">
        <f>ROUND('Category Model'!Z8,2)</f>
        <v>#DIV/0!</v>
      </c>
      <c r="F16" s="19" t="str">
        <f>'Category Model'!AB8</f>
        <v>NB-IoT</v>
      </c>
      <c r="G16" s="29" t="str">
        <f>'Category Model'!N8</f>
        <v>LoRaWAN where a shared building network exists</v>
      </c>
      <c r="H16" s="19" t="str">
        <f>'Category Model'!O8</f>
        <v>Medium</v>
      </c>
      <c r="T16" t="str">
        <f t="shared" si="0"/>
        <v>Lux sensors</v>
      </c>
      <c r="U16" t="e">
        <f t="shared" si="1"/>
        <v>#DIV/0!</v>
      </c>
      <c r="V16" t="e">
        <f t="shared" si="2"/>
        <v>#DIV/0!</v>
      </c>
    </row>
    <row r="17" spans="1:22" ht="15" customHeight="1">
      <c r="A17" s="26" t="str">
        <f>'Category Model'!A9</f>
        <v>Metering — electricity and water</v>
      </c>
      <c r="B17" s="19">
        <f>'Category Model'!K9</f>
        <v>5</v>
      </c>
      <c r="C17" s="19">
        <f>'Category Model'!L9</f>
        <v>5</v>
      </c>
      <c r="D17" s="23" t="e">
        <f>ROUND('Category Model'!U9,2)</f>
        <v>#DIV/0!</v>
      </c>
      <c r="E17" s="23" t="e">
        <f>ROUND('Category Model'!Z9,2)</f>
        <v>#DIV/0!</v>
      </c>
      <c r="F17" s="19" t="str">
        <f>'Category Model'!AB9</f>
        <v>NB-IoT</v>
      </c>
      <c r="G17" s="29" t="str">
        <f>'Category Model'!N9</f>
        <v>LoRaWAN for estates; NB-IoT for utility-style dispersed meters</v>
      </c>
      <c r="H17" s="19" t="str">
        <f>'Category Model'!O9</f>
        <v>High</v>
      </c>
      <c r="T17" t="str">
        <f t="shared" si="0"/>
        <v>Metering — electricity and water</v>
      </c>
      <c r="U17" t="e">
        <f t="shared" si="1"/>
        <v>#DIV/0!</v>
      </c>
      <c r="V17" t="e">
        <f t="shared" si="2"/>
        <v>#DIV/0!</v>
      </c>
    </row>
    <row r="18" spans="1:22" ht="15" customHeight="1">
      <c r="A18" s="26" t="str">
        <f>'Category Model'!A10</f>
        <v>Fridge / process temperature</v>
      </c>
      <c r="B18" s="19">
        <f>'Category Model'!K10</f>
        <v>5</v>
      </c>
      <c r="C18" s="19">
        <f>'Category Model'!L10</f>
        <v>5</v>
      </c>
      <c r="D18" s="23" t="e">
        <f>ROUND('Category Model'!U10,2)</f>
        <v>#DIV/0!</v>
      </c>
      <c r="E18" s="23" t="e">
        <f>ROUND('Category Model'!Z10,2)</f>
        <v>#DIV/0!</v>
      </c>
      <c r="F18" s="19" t="str">
        <f>'Category Model'!AB10</f>
        <v>NB-IoT</v>
      </c>
      <c r="G18" s="29" t="str">
        <f>'Category Model'!N10</f>
        <v>Either; preserve local logging and alarm path</v>
      </c>
      <c r="H18" s="19" t="str">
        <f>'Category Model'!O10</f>
        <v>High</v>
      </c>
      <c r="T18" t="str">
        <f t="shared" si="0"/>
        <v>Fridge / process temperature</v>
      </c>
      <c r="U18" t="e">
        <f t="shared" si="1"/>
        <v>#DIV/0!</v>
      </c>
      <c r="V18" t="e">
        <f t="shared" si="2"/>
        <v>#DIV/0!</v>
      </c>
    </row>
    <row r="19" spans="1:22" ht="15" customHeight="1">
      <c r="A19" s="26" t="str">
        <f>'Category Model'!A11</f>
        <v>Waste water monitoring</v>
      </c>
      <c r="B19" s="19">
        <f>'Category Model'!K11</f>
        <v>4</v>
      </c>
      <c r="C19" s="19">
        <f>'Category Model'!L11</f>
        <v>5</v>
      </c>
      <c r="D19" s="23" t="e">
        <f>ROUND('Category Model'!U11,2)</f>
        <v>#DIV/0!</v>
      </c>
      <c r="E19" s="23" t="e">
        <f>ROUND('Category Model'!Z11,2)</f>
        <v>#DIV/0!</v>
      </c>
      <c r="F19" s="19" t="str">
        <f>'Category Model'!AB11</f>
        <v>NB-IoT</v>
      </c>
      <c r="G19" s="29" t="str">
        <f>'Category Model'!N11</f>
        <v>NB-IoT usually favoured for dispersed remote assets</v>
      </c>
      <c r="H19" s="19" t="str">
        <f>'Category Model'!O11</f>
        <v>Medium</v>
      </c>
      <c r="T19" t="str">
        <f t="shared" si="0"/>
        <v>Waste water monitoring</v>
      </c>
      <c r="U19" t="e">
        <f t="shared" si="1"/>
        <v>#DIV/0!</v>
      </c>
      <c r="V19" t="e">
        <f t="shared" si="2"/>
        <v>#DIV/0!</v>
      </c>
    </row>
    <row r="20" spans="1:22" ht="15" customHeight="1">
      <c r="A20" s="26" t="str">
        <f>'Category Model'!A12</f>
        <v>Water temperature</v>
      </c>
      <c r="B20" s="19">
        <f>'Category Model'!K12</f>
        <v>5</v>
      </c>
      <c r="C20" s="19">
        <f>'Category Model'!L12</f>
        <v>5</v>
      </c>
      <c r="D20" s="23" t="e">
        <f>ROUND('Category Model'!U12,2)</f>
        <v>#DIV/0!</v>
      </c>
      <c r="E20" s="23" t="e">
        <f>ROUND('Category Model'!Z12,2)</f>
        <v>#DIV/0!</v>
      </c>
      <c r="F20" s="19" t="str">
        <f>'Category Model'!AB12</f>
        <v>NB-IoT</v>
      </c>
      <c r="G20" s="29" t="str">
        <f>'Category Model'!N12</f>
        <v>Either; LoRaWAN when sites share coverage</v>
      </c>
      <c r="H20" s="19" t="str">
        <f>'Category Model'!O12</f>
        <v>High</v>
      </c>
      <c r="T20" t="str">
        <f t="shared" si="0"/>
        <v>Water temperature</v>
      </c>
      <c r="U20" t="e">
        <f t="shared" si="1"/>
        <v>#DIV/0!</v>
      </c>
      <c r="V20" t="e">
        <f t="shared" si="2"/>
        <v>#DIV/0!</v>
      </c>
    </row>
    <row r="21" spans="1:22" ht="15" customHeight="1">
      <c r="A21" s="26" t="str">
        <f>'Category Model'!A13</f>
        <v>Water flow</v>
      </c>
      <c r="B21" s="19">
        <f>'Category Model'!K13</f>
        <v>5</v>
      </c>
      <c r="C21" s="19">
        <f>'Category Model'!L13</f>
        <v>5</v>
      </c>
      <c r="D21" s="23" t="e">
        <f>ROUND('Category Model'!U13,2)</f>
        <v>#DIV/0!</v>
      </c>
      <c r="E21" s="23" t="e">
        <f>ROUND('Category Model'!Z13,2)</f>
        <v>#DIV/0!</v>
      </c>
      <c r="F21" s="19" t="str">
        <f>'Category Model'!AB13</f>
        <v>NB-IoT</v>
      </c>
      <c r="G21" s="29" t="str">
        <f>'Category Model'!N13</f>
        <v>Either; NB-IoT is simpler when widely dispersed</v>
      </c>
      <c r="H21" s="19" t="str">
        <f>'Category Model'!O13</f>
        <v>High</v>
      </c>
      <c r="T21" t="str">
        <f t="shared" si="0"/>
        <v>Water flow</v>
      </c>
      <c r="U21" t="e">
        <f t="shared" si="1"/>
        <v>#DIV/0!</v>
      </c>
      <c r="V21" t="e">
        <f t="shared" si="2"/>
        <v>#DIV/0!</v>
      </c>
    </row>
    <row r="22" spans="1:22" ht="15" customHeight="1">
      <c r="A22" s="26" t="str">
        <f>'Category Model'!A14</f>
        <v>Water leak detection</v>
      </c>
      <c r="B22" s="19">
        <f>'Category Model'!K14</f>
        <v>5</v>
      </c>
      <c r="C22" s="19">
        <f>'Category Model'!L14</f>
        <v>5</v>
      </c>
      <c r="D22" s="23" t="e">
        <f>ROUND('Category Model'!U14,2)</f>
        <v>#DIV/0!</v>
      </c>
      <c r="E22" s="23" t="e">
        <f>ROUND('Category Model'!Z14,2)</f>
        <v>#DIV/0!</v>
      </c>
      <c r="F22" s="19" t="str">
        <f>'Category Model'!AB14</f>
        <v>NB-IoT</v>
      </c>
      <c r="G22" s="29" t="str">
        <f>'Category Model'!N14</f>
        <v>LoRaWAN for density; NB-IoT for standalone premises</v>
      </c>
      <c r="H22" s="19" t="str">
        <f>'Category Model'!O14</f>
        <v>High</v>
      </c>
      <c r="T22" t="str">
        <f t="shared" si="0"/>
        <v>Water leak detection</v>
      </c>
      <c r="U22" t="e">
        <f t="shared" si="1"/>
        <v>#DIV/0!</v>
      </c>
      <c r="V22" t="e">
        <f t="shared" si="2"/>
        <v>#DIV/0!</v>
      </c>
    </row>
    <row r="23" spans="1:22" ht="15" customHeight="1">
      <c r="A23" s="26" t="str">
        <f>'Category Model'!A15</f>
        <v>Acoustic sensors</v>
      </c>
      <c r="B23" s="19">
        <f>'Category Model'!K15</f>
        <v>4</v>
      </c>
      <c r="C23" s="19">
        <f>'Category Model'!L15</f>
        <v>5</v>
      </c>
      <c r="D23" s="23" t="e">
        <f>ROUND('Category Model'!U15,2)</f>
        <v>#DIV/0!</v>
      </c>
      <c r="E23" s="23" t="e">
        <f>ROUND('Category Model'!Z15,2)</f>
        <v>#DIV/0!</v>
      </c>
      <c r="F23" s="19" t="str">
        <f>'Category Model'!AB15</f>
        <v>NB-IoT</v>
      </c>
      <c r="G23" s="29" t="str">
        <f>'Category Model'!N15</f>
        <v>NB-IoT for dispersed water loggers; either on campus</v>
      </c>
      <c r="H23" s="19" t="str">
        <f>'Category Model'!O15</f>
        <v>Medium</v>
      </c>
      <c r="T23" t="str">
        <f t="shared" si="0"/>
        <v>Acoustic sensors</v>
      </c>
      <c r="U23" t="e">
        <f t="shared" si="1"/>
        <v>#DIV/0!</v>
      </c>
      <c r="V23" t="e">
        <f t="shared" si="2"/>
        <v>#DIV/0!</v>
      </c>
    </row>
    <row r="24" spans="1:22" ht="15" customHeight="1">
      <c r="A24" s="26" t="str">
        <f>'Category Model'!A16</f>
        <v>Bin fill level — ultrasonic</v>
      </c>
      <c r="B24" s="19">
        <f>'Category Model'!K16</f>
        <v>5</v>
      </c>
      <c r="C24" s="19">
        <f>'Category Model'!L16</f>
        <v>5</v>
      </c>
      <c r="D24" s="23" t="e">
        <f>ROUND('Category Model'!U16,2)</f>
        <v>#DIV/0!</v>
      </c>
      <c r="E24" s="23" t="e">
        <f>ROUND('Category Model'!Z16,2)</f>
        <v>#DIV/0!</v>
      </c>
      <c r="F24" s="19" t="str">
        <f>'Category Model'!AB16</f>
        <v>NB-IoT</v>
      </c>
      <c r="G24" s="29" t="str">
        <f>'Category Model'!N16</f>
        <v>NB-IoT for citywide assets; LoRaWAN on campus/private estate</v>
      </c>
      <c r="H24" s="19" t="str">
        <f>'Category Model'!O16</f>
        <v>High</v>
      </c>
      <c r="T24" t="str">
        <f t="shared" si="0"/>
        <v>Bin fill level — ultrasonic</v>
      </c>
      <c r="U24" t="e">
        <f t="shared" si="1"/>
        <v>#DIV/0!</v>
      </c>
      <c r="V24" t="e">
        <f t="shared" si="2"/>
        <v>#DIV/0!</v>
      </c>
    </row>
    <row r="25" spans="1:22" ht="15" customHeight="1">
      <c r="A25" s="26" t="str">
        <f>'Category Model'!A18</f>
        <v>Vibration sensors</v>
      </c>
      <c r="B25" s="19">
        <f>'Category Model'!K18</f>
        <v>4</v>
      </c>
      <c r="C25" s="19">
        <f>'Category Model'!L18</f>
        <v>4</v>
      </c>
      <c r="D25" s="23" t="e">
        <f>ROUND('Category Model'!U18,2)</f>
        <v>#DIV/0!</v>
      </c>
      <c r="E25" s="23" t="e">
        <f>ROUND('Category Model'!Z18,2)</f>
        <v>#DIV/0!</v>
      </c>
      <c r="F25" s="19" t="str">
        <f>'Category Model'!AB18</f>
        <v>NB-IoT</v>
      </c>
      <c r="G25" s="29" t="str">
        <f>'Category Model'!N18</f>
        <v>Either for features; wired/Wi-Fi/LTE for raw waveform</v>
      </c>
      <c r="H25" s="19" t="str">
        <f>'Category Model'!O18</f>
        <v>Medium</v>
      </c>
      <c r="T25" t="str">
        <f t="shared" si="0"/>
        <v>Vibration sensors</v>
      </c>
      <c r="U25" t="e">
        <f t="shared" si="1"/>
        <v>#DIV/0!</v>
      </c>
      <c r="V25" t="e">
        <f t="shared" si="2"/>
        <v>#DIV/0!</v>
      </c>
    </row>
    <row r="26" spans="1:22" ht="26.4" customHeight="1">
      <c r="A26" s="26" t="str">
        <f>'Category Model'!A19</f>
        <v>Pressure sensors — medical gases</v>
      </c>
      <c r="B26" s="19">
        <f>'Category Model'!K19</f>
        <v>4</v>
      </c>
      <c r="C26" s="19">
        <f>'Category Model'!L19</f>
        <v>4</v>
      </c>
      <c r="D26" s="23" t="e">
        <f>ROUND('Category Model'!U19,2)</f>
        <v>#DIV/0!</v>
      </c>
      <c r="E26" s="23" t="e">
        <f>ROUND('Category Model'!Z19,2)</f>
        <v>#DIV/0!</v>
      </c>
      <c r="F26" s="19" t="str">
        <f>'Category Model'!AB19</f>
        <v>NB-IoT</v>
      </c>
      <c r="G26" s="29" t="str">
        <f>'Category Model'!N19</f>
        <v>LPWAN may supplement, never replace, the safety alarm system</v>
      </c>
      <c r="H26" s="19" t="str">
        <f>'Category Model'!O19</f>
        <v>Low</v>
      </c>
      <c r="T26" t="str">
        <f t="shared" si="0"/>
        <v>Pressure sensors — medical gases</v>
      </c>
      <c r="U26" t="e">
        <f t="shared" si="1"/>
        <v>#DIV/0!</v>
      </c>
      <c r="V26" t="e">
        <f t="shared" si="2"/>
        <v>#DIV/0!</v>
      </c>
    </row>
    <row r="27" spans="1:22" ht="26.4" customHeight="1">
      <c r="A27" s="26" t="str">
        <f>'Category Model'!A20</f>
        <v>Ultrasonic non-invasive — medical gases</v>
      </c>
      <c r="B27" s="19">
        <f>'Category Model'!K20</f>
        <v>4</v>
      </c>
      <c r="C27" s="19">
        <f>'Category Model'!L20</f>
        <v>4</v>
      </c>
      <c r="D27" s="23" t="e">
        <f>ROUND('Category Model'!U20,2)</f>
        <v>#DIV/0!</v>
      </c>
      <c r="E27" s="23" t="e">
        <f>ROUND('Category Model'!Z20,2)</f>
        <v>#DIV/0!</v>
      </c>
      <c r="F27" s="19" t="str">
        <f>'Category Model'!AB20</f>
        <v>NB-IoT</v>
      </c>
      <c r="G27" s="29" t="str">
        <f>'Category Model'!N20</f>
        <v>Either as supplementary telemetry; validate clinical compliance</v>
      </c>
      <c r="H27" s="19" t="str">
        <f>'Category Model'!O20</f>
        <v>Low</v>
      </c>
      <c r="T27" t="str">
        <f t="shared" si="0"/>
        <v>Ultrasonic non-invasive — medical gases</v>
      </c>
      <c r="U27" t="e">
        <f t="shared" si="1"/>
        <v>#DIV/0!</v>
      </c>
      <c r="V27" t="e">
        <f t="shared" si="2"/>
        <v>#DIV/0!</v>
      </c>
    </row>
    <row r="28" spans="1:22" ht="26.4" customHeight="1"/>
  </sheetData>
  <mergeCells count="5">
    <mergeCell ref="A1:H1"/>
    <mergeCell ref="A2:H2"/>
    <mergeCell ref="A4:B4"/>
    <mergeCell ref="D4:H4"/>
    <mergeCell ref="D5:H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topLeftCell="A2" workbookViewId="0">
      <selection activeCell="B27" sqref="B27"/>
    </sheetView>
  </sheetViews>
  <sheetFormatPr defaultRowHeight="13.8"/>
  <cols>
    <col min="1" max="1" width="30.5" bestFit="1" customWidth="1"/>
    <col min="2" max="2" width="15" customWidth="1"/>
    <col min="3" max="3" width="18" customWidth="1"/>
    <col min="4" max="4" width="32.19921875" bestFit="1" customWidth="1"/>
    <col min="5" max="5" width="66.09765625" bestFit="1" customWidth="1"/>
    <col min="6" max="6" width="64.59765625" bestFit="1" customWidth="1"/>
  </cols>
  <sheetData>
    <row r="1" spans="1:6" ht="25.95" customHeight="1">
      <c r="A1" s="63" t="s">
        <v>19</v>
      </c>
      <c r="B1" s="64" t="s">
        <v>19</v>
      </c>
      <c r="C1" s="64" t="s">
        <v>19</v>
      </c>
      <c r="D1" s="64" t="s">
        <v>19</v>
      </c>
      <c r="E1" s="64" t="s">
        <v>19</v>
      </c>
      <c r="F1" s="65" t="s">
        <v>19</v>
      </c>
    </row>
    <row r="2" spans="1:6" ht="25.95" customHeight="1">
      <c r="A2" s="66" t="s">
        <v>20</v>
      </c>
      <c r="B2" s="52" t="s">
        <v>20</v>
      </c>
      <c r="C2" s="52" t="s">
        <v>20</v>
      </c>
      <c r="D2" s="52" t="s">
        <v>20</v>
      </c>
      <c r="E2" s="52" t="s">
        <v>20</v>
      </c>
      <c r="F2" s="67" t="s">
        <v>20</v>
      </c>
    </row>
    <row r="3" spans="1:6">
      <c r="A3" s="9"/>
      <c r="F3" s="10"/>
    </row>
    <row r="4" spans="1:6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 t="s">
        <v>26</v>
      </c>
    </row>
    <row r="5" spans="1:6" ht="15" customHeight="1">
      <c r="A5" s="11" t="s">
        <v>27</v>
      </c>
      <c r="B5" s="5">
        <v>5</v>
      </c>
      <c r="C5" s="4" t="s">
        <v>28</v>
      </c>
      <c r="D5" s="4" t="s">
        <v>29</v>
      </c>
      <c r="E5" s="4"/>
      <c r="F5" s="12" t="s">
        <v>30</v>
      </c>
    </row>
    <row r="6" spans="1:6" ht="15" customHeight="1">
      <c r="A6" s="11" t="s">
        <v>31</v>
      </c>
      <c r="B6" s="5">
        <v>1</v>
      </c>
      <c r="C6" s="4" t="s">
        <v>32</v>
      </c>
      <c r="D6" s="4" t="s">
        <v>29</v>
      </c>
      <c r="E6" s="4"/>
      <c r="F6" s="12" t="s">
        <v>33</v>
      </c>
    </row>
    <row r="7" spans="1:6" ht="15" customHeight="1">
      <c r="A7" s="11" t="s">
        <v>34</v>
      </c>
      <c r="B7" s="6">
        <v>415.8</v>
      </c>
      <c r="C7" s="4" t="s">
        <v>35</v>
      </c>
      <c r="D7" s="4" t="s">
        <v>36</v>
      </c>
      <c r="E7" s="4" t="s">
        <v>37</v>
      </c>
      <c r="F7" s="12" t="s">
        <v>38</v>
      </c>
    </row>
    <row r="8" spans="1:6" ht="15" customHeight="1">
      <c r="A8" s="11" t="s">
        <v>39</v>
      </c>
      <c r="B8" s="6">
        <v>300</v>
      </c>
      <c r="C8" s="4" t="s">
        <v>35</v>
      </c>
      <c r="D8" s="4" t="s">
        <v>40</v>
      </c>
      <c r="E8" s="4"/>
      <c r="F8" s="12" t="s">
        <v>41</v>
      </c>
    </row>
    <row r="9" spans="1:6" ht="15" customHeight="1">
      <c r="A9" s="11" t="s">
        <v>42</v>
      </c>
      <c r="B9" s="6">
        <v>60</v>
      </c>
      <c r="C9" s="4" t="s">
        <v>43</v>
      </c>
      <c r="D9" s="4" t="s">
        <v>40</v>
      </c>
      <c r="E9" s="4"/>
      <c r="F9" s="12" t="s">
        <v>44</v>
      </c>
    </row>
    <row r="10" spans="1:6" ht="15" customHeight="1">
      <c r="A10" s="11" t="s">
        <v>45</v>
      </c>
      <c r="B10" s="6">
        <v>22</v>
      </c>
      <c r="C10" s="4" t="s">
        <v>43</v>
      </c>
      <c r="D10" s="4" t="s">
        <v>46</v>
      </c>
      <c r="E10" s="4"/>
      <c r="F10" s="12" t="s">
        <v>47</v>
      </c>
    </row>
    <row r="11" spans="1:6" ht="26.4" customHeight="1">
      <c r="A11" s="11" t="s">
        <v>48</v>
      </c>
      <c r="B11" s="6">
        <v>0</v>
      </c>
      <c r="C11" s="4" t="s">
        <v>49</v>
      </c>
      <c r="D11" s="4" t="s">
        <v>50</v>
      </c>
      <c r="E11" s="4" t="s">
        <v>51</v>
      </c>
      <c r="F11" s="12" t="s">
        <v>52</v>
      </c>
    </row>
    <row r="12" spans="1:6" ht="26.4" customHeight="1">
      <c r="A12" s="11" t="s">
        <v>53</v>
      </c>
      <c r="B12" s="6">
        <v>0</v>
      </c>
      <c r="C12" s="4" t="s">
        <v>54</v>
      </c>
      <c r="D12" s="4" t="s">
        <v>55</v>
      </c>
      <c r="E12" s="4"/>
      <c r="F12" s="12" t="s">
        <v>56</v>
      </c>
    </row>
    <row r="13" spans="1:6" ht="15" customHeight="1">
      <c r="A13" s="11" t="s">
        <v>57</v>
      </c>
      <c r="B13" s="6">
        <v>15</v>
      </c>
      <c r="C13" s="4" t="s">
        <v>58</v>
      </c>
      <c r="D13" s="4" t="s">
        <v>40</v>
      </c>
      <c r="E13" s="4"/>
      <c r="F13" s="12" t="s">
        <v>59</v>
      </c>
    </row>
    <row r="14" spans="1:6">
      <c r="A14" s="11" t="s">
        <v>276</v>
      </c>
      <c r="B14" s="69">
        <v>0.98</v>
      </c>
      <c r="C14" s="4" t="s">
        <v>49</v>
      </c>
      <c r="D14" s="4" t="s">
        <v>277</v>
      </c>
      <c r="E14" s="4"/>
      <c r="F14" s="12" t="s">
        <v>278</v>
      </c>
    </row>
    <row r="15" spans="1:6" ht="27.6">
      <c r="A15" s="11" t="s">
        <v>279</v>
      </c>
      <c r="B15" s="69">
        <v>0.7</v>
      </c>
      <c r="C15" s="4" t="s">
        <v>58</v>
      </c>
      <c r="D15" s="4" t="s">
        <v>277</v>
      </c>
      <c r="E15" s="4"/>
      <c r="F15" s="12" t="s">
        <v>280</v>
      </c>
    </row>
    <row r="16" spans="1:6">
      <c r="A16" s="11" t="s">
        <v>60</v>
      </c>
      <c r="B16" s="5">
        <v>17</v>
      </c>
      <c r="C16" s="4" t="s">
        <v>281</v>
      </c>
      <c r="D16" s="4" t="s">
        <v>277</v>
      </c>
      <c r="E16" s="4"/>
      <c r="F16" s="12" t="s">
        <v>282</v>
      </c>
    </row>
    <row r="17" spans="1:6">
      <c r="A17" s="11" t="s">
        <v>283</v>
      </c>
      <c r="B17" s="69">
        <v>0.01</v>
      </c>
      <c r="C17" s="4" t="s">
        <v>284</v>
      </c>
      <c r="D17" s="4" t="s">
        <v>277</v>
      </c>
      <c r="E17" s="4"/>
      <c r="F17" s="12" t="s">
        <v>285</v>
      </c>
    </row>
    <row r="18" spans="1:6" ht="26.4" customHeight="1">
      <c r="A18" s="11" t="s">
        <v>61</v>
      </c>
      <c r="B18" s="6">
        <v>12</v>
      </c>
      <c r="C18" s="4" t="s">
        <v>58</v>
      </c>
      <c r="D18" s="4" t="s">
        <v>40</v>
      </c>
      <c r="E18" s="4"/>
      <c r="F18" s="12" t="s">
        <v>62</v>
      </c>
    </row>
    <row r="19" spans="1:6" ht="26.4" customHeight="1">
      <c r="A19" s="11" t="s">
        <v>63</v>
      </c>
      <c r="B19" s="7">
        <v>2</v>
      </c>
      <c r="C19" s="4" t="s">
        <v>64</v>
      </c>
      <c r="D19" s="4" t="s">
        <v>40</v>
      </c>
      <c r="E19" s="4"/>
      <c r="F19" s="12" t="s">
        <v>65</v>
      </c>
    </row>
    <row r="20" spans="1:6" ht="39.6" customHeight="1">
      <c r="A20" s="11" t="s">
        <v>66</v>
      </c>
      <c r="B20" s="6">
        <v>35</v>
      </c>
      <c r="C20" s="4" t="s">
        <v>67</v>
      </c>
      <c r="D20" s="4" t="s">
        <v>40</v>
      </c>
      <c r="E20" s="4"/>
      <c r="F20" s="12" t="s">
        <v>68</v>
      </c>
    </row>
    <row r="21" spans="1:6" ht="15" customHeight="1">
      <c r="A21" s="11" t="s">
        <v>69</v>
      </c>
      <c r="B21" s="8">
        <v>0.85387999999999997</v>
      </c>
      <c r="C21" s="4" t="s">
        <v>70</v>
      </c>
      <c r="D21" s="4" t="s">
        <v>71</v>
      </c>
      <c r="E21" s="4" t="s">
        <v>72</v>
      </c>
      <c r="F21" s="12" t="s">
        <v>73</v>
      </c>
    </row>
    <row r="22" spans="1:6">
      <c r="A22" s="13"/>
      <c r="B22" s="4"/>
      <c r="C22" s="4"/>
      <c r="D22" s="4"/>
      <c r="E22" s="4"/>
      <c r="F22" s="12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"/>
  <sheetViews>
    <sheetView showGridLines="0" topLeftCell="A3" workbookViewId="0">
      <selection activeCell="A6" sqref="A6:XFD6"/>
    </sheetView>
  </sheetViews>
  <sheetFormatPr defaultRowHeight="13.8"/>
  <cols>
    <col min="1" max="1" width="30" customWidth="1"/>
    <col min="2" max="2" width="22" customWidth="1"/>
    <col min="3" max="4" width="10" customWidth="1"/>
    <col min="5" max="12" width="14" customWidth="1"/>
    <col min="13" max="14" width="40" customWidth="1"/>
    <col min="15" max="15" width="13" customWidth="1"/>
    <col min="16" max="30" width="15" customWidth="1"/>
    <col min="31" max="31" width="33" customWidth="1"/>
  </cols>
  <sheetData>
    <row r="1" spans="1:31" ht="25.95" customHeight="1">
      <c r="A1" s="51" t="s">
        <v>74</v>
      </c>
      <c r="B1" s="51" t="s">
        <v>74</v>
      </c>
      <c r="C1" s="51" t="s">
        <v>74</v>
      </c>
      <c r="D1" s="51" t="s">
        <v>74</v>
      </c>
      <c r="E1" s="51" t="s">
        <v>74</v>
      </c>
      <c r="F1" s="51" t="s">
        <v>74</v>
      </c>
      <c r="G1" s="51" t="s">
        <v>74</v>
      </c>
      <c r="H1" s="51" t="s">
        <v>74</v>
      </c>
      <c r="I1" s="51" t="s">
        <v>74</v>
      </c>
      <c r="J1" s="51" t="s">
        <v>74</v>
      </c>
      <c r="K1" s="51" t="s">
        <v>74</v>
      </c>
      <c r="L1" s="51" t="s">
        <v>74</v>
      </c>
      <c r="M1" s="51" t="s">
        <v>74</v>
      </c>
      <c r="N1" s="51" t="s">
        <v>74</v>
      </c>
      <c r="O1" s="51" t="s">
        <v>74</v>
      </c>
      <c r="P1" s="51" t="s">
        <v>74</v>
      </c>
      <c r="Q1" s="51" t="s">
        <v>74</v>
      </c>
      <c r="R1" s="51" t="s">
        <v>74</v>
      </c>
      <c r="S1" s="51" t="s">
        <v>74</v>
      </c>
      <c r="T1" s="51" t="s">
        <v>74</v>
      </c>
      <c r="U1" s="51" t="s">
        <v>74</v>
      </c>
      <c r="V1" s="51" t="s">
        <v>74</v>
      </c>
      <c r="W1" s="51" t="s">
        <v>74</v>
      </c>
      <c r="X1" s="51" t="s">
        <v>74</v>
      </c>
      <c r="Y1" s="51" t="s">
        <v>74</v>
      </c>
      <c r="Z1" s="51" t="s">
        <v>74</v>
      </c>
      <c r="AA1" s="51" t="s">
        <v>74</v>
      </c>
      <c r="AB1" s="51" t="s">
        <v>74</v>
      </c>
      <c r="AC1" s="51" t="s">
        <v>74</v>
      </c>
      <c r="AD1" s="51" t="s">
        <v>74</v>
      </c>
      <c r="AE1" s="51" t="s">
        <v>74</v>
      </c>
    </row>
    <row r="2" spans="1:31" ht="25.95" customHeight="1">
      <c r="A2" s="52" t="s">
        <v>75</v>
      </c>
      <c r="B2" s="52" t="s">
        <v>75</v>
      </c>
      <c r="C2" s="52" t="s">
        <v>75</v>
      </c>
      <c r="D2" s="52" t="s">
        <v>75</v>
      </c>
      <c r="E2" s="52" t="s">
        <v>75</v>
      </c>
      <c r="F2" s="52" t="s">
        <v>75</v>
      </c>
      <c r="G2" s="52" t="s">
        <v>75</v>
      </c>
      <c r="H2" s="52" t="s">
        <v>75</v>
      </c>
      <c r="I2" s="52" t="s">
        <v>75</v>
      </c>
      <c r="J2" s="52" t="s">
        <v>75</v>
      </c>
      <c r="K2" s="52" t="s">
        <v>75</v>
      </c>
      <c r="L2" s="52" t="s">
        <v>75</v>
      </c>
      <c r="M2" s="52" t="s">
        <v>75</v>
      </c>
      <c r="N2" s="52" t="s">
        <v>75</v>
      </c>
      <c r="O2" s="52" t="s">
        <v>75</v>
      </c>
      <c r="P2" s="52" t="s">
        <v>75</v>
      </c>
      <c r="Q2" s="52" t="s">
        <v>75</v>
      </c>
      <c r="R2" s="52" t="s">
        <v>75</v>
      </c>
      <c r="S2" s="52" t="s">
        <v>75</v>
      </c>
      <c r="T2" s="52" t="s">
        <v>75</v>
      </c>
      <c r="U2" s="52" t="s">
        <v>75</v>
      </c>
      <c r="V2" s="52" t="s">
        <v>75</v>
      </c>
      <c r="W2" s="52" t="s">
        <v>75</v>
      </c>
      <c r="X2" s="52" t="s">
        <v>75</v>
      </c>
      <c r="Y2" s="52" t="s">
        <v>75</v>
      </c>
      <c r="Z2" s="52" t="s">
        <v>75</v>
      </c>
      <c r="AA2" s="52" t="s">
        <v>75</v>
      </c>
      <c r="AB2" s="52" t="s">
        <v>75</v>
      </c>
      <c r="AC2" s="52" t="s">
        <v>75</v>
      </c>
      <c r="AD2" s="52" t="s">
        <v>75</v>
      </c>
      <c r="AE2" s="52" t="s">
        <v>75</v>
      </c>
    </row>
    <row r="4" spans="1:31" ht="54" customHeight="1">
      <c r="A4" s="1" t="s">
        <v>9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84</v>
      </c>
      <c r="K4" s="2" t="s">
        <v>85</v>
      </c>
      <c r="L4" s="2" t="s">
        <v>86</v>
      </c>
      <c r="M4" s="2" t="s">
        <v>87</v>
      </c>
      <c r="N4" s="2" t="s">
        <v>15</v>
      </c>
      <c r="O4" s="2" t="s">
        <v>88</v>
      </c>
      <c r="P4" s="2" t="s">
        <v>89</v>
      </c>
      <c r="Q4" s="2" t="s">
        <v>90</v>
      </c>
      <c r="R4" s="2" t="s">
        <v>91</v>
      </c>
      <c r="S4" s="2" t="s">
        <v>92</v>
      </c>
      <c r="T4" s="2" t="s">
        <v>93</v>
      </c>
      <c r="U4" s="2" t="s">
        <v>12</v>
      </c>
      <c r="V4" s="2" t="s">
        <v>286</v>
      </c>
      <c r="W4" s="2" t="s">
        <v>287</v>
      </c>
      <c r="X4" s="2" t="s">
        <v>94</v>
      </c>
      <c r="Y4" s="2" t="s">
        <v>95</v>
      </c>
      <c r="Z4" s="2" t="s">
        <v>13</v>
      </c>
      <c r="AA4" s="2" t="s">
        <v>96</v>
      </c>
      <c r="AB4" s="2" t="s">
        <v>97</v>
      </c>
      <c r="AC4" s="2" t="s">
        <v>98</v>
      </c>
      <c r="AD4" s="2" t="s">
        <v>99</v>
      </c>
      <c r="AE4" s="3" t="s">
        <v>100</v>
      </c>
    </row>
    <row r="5" spans="1:31" ht="26.4" customHeight="1">
      <c r="A5" s="25" t="s">
        <v>101</v>
      </c>
      <c r="B5" s="14" t="s">
        <v>102</v>
      </c>
      <c r="C5" s="15">
        <v>1069</v>
      </c>
      <c r="D5" s="15">
        <v>1</v>
      </c>
      <c r="E5" s="16">
        <v>180</v>
      </c>
      <c r="F5" s="16">
        <v>195</v>
      </c>
      <c r="G5" s="16">
        <v>35</v>
      </c>
      <c r="H5" s="17">
        <v>14.88</v>
      </c>
      <c r="I5" s="17">
        <v>5</v>
      </c>
      <c r="J5" s="17">
        <v>3</v>
      </c>
      <c r="K5" s="15">
        <v>5</v>
      </c>
      <c r="L5" s="15">
        <v>4</v>
      </c>
      <c r="M5" s="14" t="s">
        <v>103</v>
      </c>
      <c r="N5" s="28" t="s">
        <v>104</v>
      </c>
      <c r="O5" s="14" t="s">
        <v>105</v>
      </c>
      <c r="P5" s="18">
        <f>C5*(E5+G5+Assumptions!$B$13)</f>
        <v>245870</v>
      </c>
      <c r="Q5" s="18">
        <f>D5*Assumptions!$B$6*(Assumptions!$B$7+Assumptions!$B$8)+Assumptions!$B$5*(D5*Assumptions!$B$6*(Assumptions!$B$9+Assumptions!$B$10)+Assumptions!$B$12)</f>
        <v>1125.8</v>
      </c>
      <c r="R5" s="18">
        <f>C5*E5*Assumptions!$B$19/100*Assumptions!$B$5+C5*IF(I5&lt;=Assumptions!$B$5,Assumptions!$B$20,0)</f>
        <v>56657</v>
      </c>
      <c r="S5" s="18">
        <f>C5*Assumptions!$B$11*12*Assumptions!$B$5</f>
        <v>0</v>
      </c>
      <c r="T5" s="18">
        <f t="shared" ref="T5:T20" si="0">SUM(P5:S5)</f>
        <v>303652.8</v>
      </c>
      <c r="U5" s="18">
        <f t="shared" ref="U5:U20" si="1">ROUND(T5/C5,2)</f>
        <v>284.05</v>
      </c>
      <c r="V5" s="18">
        <f>C5*(F5+G5+Assumptions!$B$18+Assumptions!$B$15+Assumptions!$B$14*12*Assumptions!$B$5)</f>
        <v>322303.5</v>
      </c>
      <c r="W5" s="18">
        <f>ROUND(C5*MAX(0,H5-Assumptions!$B$16)*12*Assumptions!$B$5*Assumptions!$B$17,2)</f>
        <v>0</v>
      </c>
      <c r="X5" s="18">
        <f>C5*F5*Assumptions!$B$19/100*Assumptions!$B$5+C5*IF(J5&lt;=Assumptions!$B$5,Assumptions!$B$20,0)</f>
        <v>58260.5</v>
      </c>
      <c r="Y5" s="18">
        <f t="shared" ref="Y5:Y20" si="2">SUM(V5:X5)</f>
        <v>380564</v>
      </c>
      <c r="Z5" s="18">
        <f t="shared" ref="Z5:Z20" si="3">ROUND(Y5/C5,2)</f>
        <v>356</v>
      </c>
      <c r="AA5" s="18">
        <f t="shared" ref="AA5:AA20" si="4">ROUND(T5-Y5,2)</f>
        <v>-76911.199999999997</v>
      </c>
      <c r="AB5" s="31" t="str">
        <f t="shared" ref="AB5:AB20" si="5">IF(OR(K5&lt;=2,L5&lt;=2),"Not decisive",IF(T5&lt;Y5,"LoRaWAN",IF(T5&gt;Y5,"NB-IoT","Tie")))</f>
        <v>LoRaWAN</v>
      </c>
      <c r="AC5" s="32">
        <f t="shared" ref="AC5:AC20" si="6">ABS(T5-Y5)/MAX(T5,Y5)</f>
        <v>0.20209793884865623</v>
      </c>
      <c r="AD5" s="33">
        <f t="shared" ref="AD5:AD20" si="7">IF((Z5-U5+Q5/C5)&lt;=0,"N/A",ROUND((Q5/D5)/(Z5-U5+Q5/C5),0))</f>
        <v>15</v>
      </c>
      <c r="AE5" s="34" t="str">
        <f t="shared" ref="AE5:AE20" si="8">IF(OR(K5&lt;=2,L5&lt;=2),"Technical constraint dominates cost",IF(AB5=N5,"Cost and architecture align","Review coverage, power and support model"))</f>
        <v>Review coverage, power and support model</v>
      </c>
    </row>
    <row r="6" spans="1:31" ht="26.4" customHeight="1">
      <c r="A6" s="26" t="s">
        <v>106</v>
      </c>
      <c r="B6" s="19" t="s">
        <v>107</v>
      </c>
      <c r="C6" s="20"/>
      <c r="D6" s="20">
        <v>1</v>
      </c>
      <c r="E6" s="21">
        <v>125</v>
      </c>
      <c r="F6" s="21">
        <v>140</v>
      </c>
      <c r="G6" s="21">
        <v>85</v>
      </c>
      <c r="H6" s="22">
        <v>0.2</v>
      </c>
      <c r="I6" s="22">
        <v>5</v>
      </c>
      <c r="J6" s="22">
        <v>4</v>
      </c>
      <c r="K6" s="20">
        <v>5</v>
      </c>
      <c r="L6" s="20">
        <v>5</v>
      </c>
      <c r="M6" s="19" t="s">
        <v>108</v>
      </c>
      <c r="N6" s="29" t="s">
        <v>109</v>
      </c>
      <c r="O6" s="19" t="s">
        <v>105</v>
      </c>
      <c r="P6" s="23">
        <f>C6*(E6+G6+Assumptions!$B$13)</f>
        <v>0</v>
      </c>
      <c r="Q6" s="23">
        <f>D6*Assumptions!$B$6*(Assumptions!$B$7+Assumptions!$B$8)+Assumptions!$B$5*(D6*Assumptions!$B$6*(Assumptions!$B$9+Assumptions!$B$10)+Assumptions!$B$12)</f>
        <v>1125.8</v>
      </c>
      <c r="R6" s="23">
        <f>C6*E6*Assumptions!$B$19/100*Assumptions!$B$5+C6*IF(I6&lt;=Assumptions!$B$5,Assumptions!$B$20,0)</f>
        <v>0</v>
      </c>
      <c r="S6" s="23">
        <f>C6*Assumptions!$B$11*12*Assumptions!$B$5</f>
        <v>0</v>
      </c>
      <c r="T6" s="23">
        <f t="shared" si="0"/>
        <v>1125.8</v>
      </c>
      <c r="U6" s="23" t="e">
        <f t="shared" si="1"/>
        <v>#DIV/0!</v>
      </c>
      <c r="V6" s="23">
        <f>C6*(F6+G6+Assumptions!$B$18+Assumptions!$B$15+Assumptions!$B$14*12*Assumptions!$B$5)</f>
        <v>0</v>
      </c>
      <c r="W6" s="23">
        <f>ROUND(C6*MAX(0,H6-Assumptions!$B$16)*12*Assumptions!$B$5*Assumptions!$B$17,2)</f>
        <v>0</v>
      </c>
      <c r="X6" s="23">
        <f>C6*F6*Assumptions!$B$19/100*Assumptions!$B$5+C6*IF(J6&lt;=Assumptions!$B$5,Assumptions!$B$20,0)</f>
        <v>0</v>
      </c>
      <c r="Y6" s="23">
        <f t="shared" si="2"/>
        <v>0</v>
      </c>
      <c r="Z6" s="23" t="e">
        <f t="shared" si="3"/>
        <v>#DIV/0!</v>
      </c>
      <c r="AA6" s="23">
        <f t="shared" si="4"/>
        <v>1125.8</v>
      </c>
      <c r="AB6" s="35" t="str">
        <f t="shared" si="5"/>
        <v>NB-IoT</v>
      </c>
      <c r="AC6" s="36">
        <f t="shared" si="6"/>
        <v>1</v>
      </c>
      <c r="AD6" s="37" t="e">
        <f t="shared" si="7"/>
        <v>#DIV/0!</v>
      </c>
      <c r="AE6" s="38" t="str">
        <f t="shared" si="8"/>
        <v>Review coverage, power and support model</v>
      </c>
    </row>
    <row r="7" spans="1:31" ht="26.4" customHeight="1">
      <c r="A7" s="26" t="s">
        <v>110</v>
      </c>
      <c r="B7" s="19" t="s">
        <v>111</v>
      </c>
      <c r="C7" s="20"/>
      <c r="D7" s="20">
        <v>1</v>
      </c>
      <c r="E7" s="21">
        <v>200</v>
      </c>
      <c r="F7" s="21">
        <v>220</v>
      </c>
      <c r="G7" s="21">
        <v>50</v>
      </c>
      <c r="H7" s="22">
        <v>0.5</v>
      </c>
      <c r="I7" s="22">
        <v>99</v>
      </c>
      <c r="J7" s="22">
        <v>99</v>
      </c>
      <c r="K7" s="20">
        <v>3</v>
      </c>
      <c r="L7" s="20">
        <v>3</v>
      </c>
      <c r="M7" s="19" t="s">
        <v>112</v>
      </c>
      <c r="N7" s="29" t="s">
        <v>113</v>
      </c>
      <c r="O7" s="19" t="s">
        <v>114</v>
      </c>
      <c r="P7" s="23">
        <f>C7*(E7+G7+Assumptions!$B$13)</f>
        <v>0</v>
      </c>
      <c r="Q7" s="23">
        <f>D7*Assumptions!$B$6*(Assumptions!$B$7+Assumptions!$B$8)+Assumptions!$B$5*(D7*Assumptions!$B$6*(Assumptions!$B$9+Assumptions!$B$10)+Assumptions!$B$12)</f>
        <v>1125.8</v>
      </c>
      <c r="R7" s="23">
        <f>C7*E7*Assumptions!$B$19/100*Assumptions!$B$5+C7*IF(I7&lt;=Assumptions!$B$5,Assumptions!$B$20,0)</f>
        <v>0</v>
      </c>
      <c r="S7" s="23">
        <f>C7*Assumptions!$B$11*12*Assumptions!$B$5</f>
        <v>0</v>
      </c>
      <c r="T7" s="23">
        <f t="shared" si="0"/>
        <v>1125.8</v>
      </c>
      <c r="U7" s="23" t="e">
        <f t="shared" si="1"/>
        <v>#DIV/0!</v>
      </c>
      <c r="V7" s="23">
        <f>C7*(F7+G7+Assumptions!$B$18+Assumptions!$B$15+Assumptions!$B$14*12*Assumptions!$B$5)</f>
        <v>0</v>
      </c>
      <c r="W7" s="23">
        <f>ROUND(C7*MAX(0,H7-Assumptions!$B$16)*12*Assumptions!$B$5*Assumptions!$B$17,2)</f>
        <v>0</v>
      </c>
      <c r="X7" s="23">
        <f>C7*F7*Assumptions!$B$19/100*Assumptions!$B$5+C7*IF(J7&lt;=Assumptions!$B$5,Assumptions!$B$20,0)</f>
        <v>0</v>
      </c>
      <c r="Y7" s="23">
        <f t="shared" si="2"/>
        <v>0</v>
      </c>
      <c r="Z7" s="23" t="e">
        <f t="shared" si="3"/>
        <v>#DIV/0!</v>
      </c>
      <c r="AA7" s="23">
        <f t="shared" si="4"/>
        <v>1125.8</v>
      </c>
      <c r="AB7" s="35" t="str">
        <f t="shared" si="5"/>
        <v>NB-IoT</v>
      </c>
      <c r="AC7" s="36">
        <f t="shared" si="6"/>
        <v>1</v>
      </c>
      <c r="AD7" s="37" t="e">
        <f t="shared" si="7"/>
        <v>#DIV/0!</v>
      </c>
      <c r="AE7" s="38" t="str">
        <f t="shared" si="8"/>
        <v>Review coverage, power and support model</v>
      </c>
    </row>
    <row r="8" spans="1:31" ht="26.4" customHeight="1">
      <c r="A8" s="26" t="s">
        <v>115</v>
      </c>
      <c r="B8" s="19" t="s">
        <v>102</v>
      </c>
      <c r="C8" s="20"/>
      <c r="D8" s="20">
        <v>1</v>
      </c>
      <c r="E8" s="21">
        <v>70</v>
      </c>
      <c r="F8" s="21">
        <v>80</v>
      </c>
      <c r="G8" s="21">
        <v>25</v>
      </c>
      <c r="H8" s="22">
        <v>0.1</v>
      </c>
      <c r="I8" s="22">
        <v>8</v>
      </c>
      <c r="J8" s="22">
        <v>6</v>
      </c>
      <c r="K8" s="20">
        <v>5</v>
      </c>
      <c r="L8" s="20">
        <v>4</v>
      </c>
      <c r="M8" s="19" t="s">
        <v>116</v>
      </c>
      <c r="N8" s="29" t="s">
        <v>117</v>
      </c>
      <c r="O8" s="19" t="s">
        <v>105</v>
      </c>
      <c r="P8" s="23">
        <f>C8*(E8+G8+Assumptions!$B$13)</f>
        <v>0</v>
      </c>
      <c r="Q8" s="23">
        <f>D8*Assumptions!$B$6*(Assumptions!$B$7+Assumptions!$B$8)+Assumptions!$B$5*(D8*Assumptions!$B$6*(Assumptions!$B$9+Assumptions!$B$10)+Assumptions!$B$12)</f>
        <v>1125.8</v>
      </c>
      <c r="R8" s="23">
        <f>C8*E8*Assumptions!$B$19/100*Assumptions!$B$5+C8*IF(I8&lt;=Assumptions!$B$5,Assumptions!$B$20,0)</f>
        <v>0</v>
      </c>
      <c r="S8" s="23">
        <f>C8*Assumptions!$B$11*12*Assumptions!$B$5</f>
        <v>0</v>
      </c>
      <c r="T8" s="23">
        <f t="shared" si="0"/>
        <v>1125.8</v>
      </c>
      <c r="U8" s="23" t="e">
        <f t="shared" si="1"/>
        <v>#DIV/0!</v>
      </c>
      <c r="V8" s="23">
        <f>C8*(F8+G8+Assumptions!$B$18+Assumptions!$B$15+Assumptions!$B$14*12*Assumptions!$B$5)</f>
        <v>0</v>
      </c>
      <c r="W8" s="23">
        <f>ROUND(C8*MAX(0,H8-Assumptions!$B$16)*12*Assumptions!$B$5*Assumptions!$B$17,2)</f>
        <v>0</v>
      </c>
      <c r="X8" s="23">
        <f>C8*F8*Assumptions!$B$19/100*Assumptions!$B$5+C8*IF(J8&lt;=Assumptions!$B$5,Assumptions!$B$20,0)</f>
        <v>0</v>
      </c>
      <c r="Y8" s="23">
        <f t="shared" si="2"/>
        <v>0</v>
      </c>
      <c r="Z8" s="23" t="e">
        <f t="shared" si="3"/>
        <v>#DIV/0!</v>
      </c>
      <c r="AA8" s="23">
        <f t="shared" si="4"/>
        <v>1125.8</v>
      </c>
      <c r="AB8" s="35" t="str">
        <f t="shared" si="5"/>
        <v>NB-IoT</v>
      </c>
      <c r="AC8" s="36">
        <f t="shared" si="6"/>
        <v>1</v>
      </c>
      <c r="AD8" s="37" t="e">
        <f t="shared" si="7"/>
        <v>#DIV/0!</v>
      </c>
      <c r="AE8" s="38" t="str">
        <f t="shared" si="8"/>
        <v>Review coverage, power and support model</v>
      </c>
    </row>
    <row r="9" spans="1:31" ht="26.4" customHeight="1">
      <c r="A9" s="26" t="s">
        <v>118</v>
      </c>
      <c r="B9" s="19" t="s">
        <v>119</v>
      </c>
      <c r="C9" s="20"/>
      <c r="D9" s="20">
        <v>1</v>
      </c>
      <c r="E9" s="21">
        <v>100</v>
      </c>
      <c r="F9" s="21">
        <v>110</v>
      </c>
      <c r="G9" s="21">
        <v>75</v>
      </c>
      <c r="H9" s="22">
        <v>0.3</v>
      </c>
      <c r="I9" s="22">
        <v>8</v>
      </c>
      <c r="J9" s="22">
        <v>6</v>
      </c>
      <c r="K9" s="20">
        <v>5</v>
      </c>
      <c r="L9" s="20">
        <v>5</v>
      </c>
      <c r="M9" s="19" t="s">
        <v>120</v>
      </c>
      <c r="N9" s="29" t="s">
        <v>121</v>
      </c>
      <c r="O9" s="19" t="s">
        <v>122</v>
      </c>
      <c r="P9" s="23">
        <f>C9*(E9+G9+Assumptions!$B$13)</f>
        <v>0</v>
      </c>
      <c r="Q9" s="23">
        <f>D9*Assumptions!$B$6*(Assumptions!$B$7+Assumptions!$B$8)+Assumptions!$B$5*(D9*Assumptions!$B$6*(Assumptions!$B$9+Assumptions!$B$10)+Assumptions!$B$12)</f>
        <v>1125.8</v>
      </c>
      <c r="R9" s="23">
        <f>C9*E9*Assumptions!$B$19/100*Assumptions!$B$5+C9*IF(I9&lt;=Assumptions!$B$5,Assumptions!$B$20,0)</f>
        <v>0</v>
      </c>
      <c r="S9" s="23">
        <f>C9*Assumptions!$B$11*12*Assumptions!$B$5</f>
        <v>0</v>
      </c>
      <c r="T9" s="23">
        <f t="shared" si="0"/>
        <v>1125.8</v>
      </c>
      <c r="U9" s="23" t="e">
        <f t="shared" si="1"/>
        <v>#DIV/0!</v>
      </c>
      <c r="V9" s="23">
        <f>C9*(F9+G9+Assumptions!$B$18+Assumptions!$B$15+Assumptions!$B$14*12*Assumptions!$B$5)</f>
        <v>0</v>
      </c>
      <c r="W9" s="23">
        <f>ROUND(C9*MAX(0,H9-Assumptions!$B$16)*12*Assumptions!$B$5*Assumptions!$B$17,2)</f>
        <v>0</v>
      </c>
      <c r="X9" s="23">
        <f>C9*F9*Assumptions!$B$19/100*Assumptions!$B$5+C9*IF(J9&lt;=Assumptions!$B$5,Assumptions!$B$20,0)</f>
        <v>0</v>
      </c>
      <c r="Y9" s="23">
        <f t="shared" si="2"/>
        <v>0</v>
      </c>
      <c r="Z9" s="23" t="e">
        <f t="shared" si="3"/>
        <v>#DIV/0!</v>
      </c>
      <c r="AA9" s="23">
        <f t="shared" si="4"/>
        <v>1125.8</v>
      </c>
      <c r="AB9" s="35" t="str">
        <f t="shared" si="5"/>
        <v>NB-IoT</v>
      </c>
      <c r="AC9" s="36">
        <f t="shared" si="6"/>
        <v>1</v>
      </c>
      <c r="AD9" s="37" t="e">
        <f t="shared" si="7"/>
        <v>#DIV/0!</v>
      </c>
      <c r="AE9" s="38" t="str">
        <f t="shared" si="8"/>
        <v>Review coverage, power and support model</v>
      </c>
    </row>
    <row r="10" spans="1:31" ht="26.4" customHeight="1">
      <c r="A10" s="26" t="s">
        <v>123</v>
      </c>
      <c r="B10" s="19" t="s">
        <v>124</v>
      </c>
      <c r="C10" s="20"/>
      <c r="D10" s="20">
        <v>1</v>
      </c>
      <c r="E10" s="21">
        <v>70</v>
      </c>
      <c r="F10" s="21">
        <v>76</v>
      </c>
      <c r="G10" s="21">
        <v>45</v>
      </c>
      <c r="H10" s="22">
        <v>0.5</v>
      </c>
      <c r="I10" s="22">
        <v>8</v>
      </c>
      <c r="J10" s="22">
        <v>6</v>
      </c>
      <c r="K10" s="20">
        <v>5</v>
      </c>
      <c r="L10" s="20">
        <v>5</v>
      </c>
      <c r="M10" s="19" t="s">
        <v>125</v>
      </c>
      <c r="N10" s="29" t="s">
        <v>126</v>
      </c>
      <c r="O10" s="19" t="s">
        <v>122</v>
      </c>
      <c r="P10" s="23">
        <f>C10*(E10+G10+Assumptions!$B$13)</f>
        <v>0</v>
      </c>
      <c r="Q10" s="23">
        <f>D10*Assumptions!$B$6*(Assumptions!$B$7+Assumptions!$B$8)+Assumptions!$B$5*(D10*Assumptions!$B$6*(Assumptions!$B$9+Assumptions!$B$10)+Assumptions!$B$12)</f>
        <v>1125.8</v>
      </c>
      <c r="R10" s="23">
        <f>C10*E10*Assumptions!$B$19/100*Assumptions!$B$5+C10*IF(I10&lt;=Assumptions!$B$5,Assumptions!$B$20,0)</f>
        <v>0</v>
      </c>
      <c r="S10" s="23">
        <f>C10*Assumptions!$B$11*12*Assumptions!$B$5</f>
        <v>0</v>
      </c>
      <c r="T10" s="23">
        <f t="shared" si="0"/>
        <v>1125.8</v>
      </c>
      <c r="U10" s="23" t="e">
        <f t="shared" si="1"/>
        <v>#DIV/0!</v>
      </c>
      <c r="V10" s="23">
        <f>C10*(F10+G10+Assumptions!$B$18+Assumptions!$B$15+Assumptions!$B$14*12*Assumptions!$B$5)</f>
        <v>0</v>
      </c>
      <c r="W10" s="23">
        <f>ROUND(C10*MAX(0,H10-Assumptions!$B$16)*12*Assumptions!$B$5*Assumptions!$B$17,2)</f>
        <v>0</v>
      </c>
      <c r="X10" s="23">
        <f>C10*F10*Assumptions!$B$19/100*Assumptions!$B$5+C10*IF(J10&lt;=Assumptions!$B$5,Assumptions!$B$20,0)</f>
        <v>0</v>
      </c>
      <c r="Y10" s="23">
        <f t="shared" si="2"/>
        <v>0</v>
      </c>
      <c r="Z10" s="23" t="e">
        <f t="shared" si="3"/>
        <v>#DIV/0!</v>
      </c>
      <c r="AA10" s="23">
        <f t="shared" si="4"/>
        <v>1125.8</v>
      </c>
      <c r="AB10" s="35" t="str">
        <f t="shared" si="5"/>
        <v>NB-IoT</v>
      </c>
      <c r="AC10" s="36">
        <f t="shared" si="6"/>
        <v>1</v>
      </c>
      <c r="AD10" s="37" t="e">
        <f t="shared" si="7"/>
        <v>#DIV/0!</v>
      </c>
      <c r="AE10" s="38" t="str">
        <f t="shared" si="8"/>
        <v>Review coverage, power and support model</v>
      </c>
    </row>
    <row r="11" spans="1:31" ht="26.4" customHeight="1">
      <c r="A11" s="26" t="s">
        <v>127</v>
      </c>
      <c r="B11" s="19" t="s">
        <v>128</v>
      </c>
      <c r="C11" s="20"/>
      <c r="D11" s="20">
        <v>1</v>
      </c>
      <c r="E11" s="21">
        <v>300</v>
      </c>
      <c r="F11" s="21">
        <v>320</v>
      </c>
      <c r="G11" s="21">
        <v>250</v>
      </c>
      <c r="H11" s="22">
        <v>1</v>
      </c>
      <c r="I11" s="22">
        <v>5</v>
      </c>
      <c r="J11" s="22">
        <v>4</v>
      </c>
      <c r="K11" s="20">
        <v>4</v>
      </c>
      <c r="L11" s="20">
        <v>5</v>
      </c>
      <c r="M11" s="19" t="s">
        <v>129</v>
      </c>
      <c r="N11" s="29" t="s">
        <v>130</v>
      </c>
      <c r="O11" s="19" t="s">
        <v>105</v>
      </c>
      <c r="P11" s="23">
        <f>C11*(E11+G11+Assumptions!$B$13)</f>
        <v>0</v>
      </c>
      <c r="Q11" s="23">
        <f>D11*Assumptions!$B$6*(Assumptions!$B$7+Assumptions!$B$8)+Assumptions!$B$5*(D11*Assumptions!$B$6*(Assumptions!$B$9+Assumptions!$B$10)+Assumptions!$B$12)</f>
        <v>1125.8</v>
      </c>
      <c r="R11" s="23">
        <f>C11*E11*Assumptions!$B$19/100*Assumptions!$B$5+C11*IF(I11&lt;=Assumptions!$B$5,Assumptions!$B$20,0)</f>
        <v>0</v>
      </c>
      <c r="S11" s="23">
        <f>C11*Assumptions!$B$11*12*Assumptions!$B$5</f>
        <v>0</v>
      </c>
      <c r="T11" s="23">
        <f t="shared" si="0"/>
        <v>1125.8</v>
      </c>
      <c r="U11" s="23" t="e">
        <f t="shared" si="1"/>
        <v>#DIV/0!</v>
      </c>
      <c r="V11" s="23">
        <f>C11*(F11+G11+Assumptions!$B$18+Assumptions!$B$15+Assumptions!$B$14*12*Assumptions!$B$5)</f>
        <v>0</v>
      </c>
      <c r="W11" s="23">
        <f>ROUND(C11*MAX(0,H11-Assumptions!$B$16)*12*Assumptions!$B$5*Assumptions!$B$17,2)</f>
        <v>0</v>
      </c>
      <c r="X11" s="23">
        <f>C11*F11*Assumptions!$B$19/100*Assumptions!$B$5+C11*IF(J11&lt;=Assumptions!$B$5,Assumptions!$B$20,0)</f>
        <v>0</v>
      </c>
      <c r="Y11" s="23">
        <f t="shared" si="2"/>
        <v>0</v>
      </c>
      <c r="Z11" s="23" t="e">
        <f t="shared" si="3"/>
        <v>#DIV/0!</v>
      </c>
      <c r="AA11" s="23">
        <f t="shared" si="4"/>
        <v>1125.8</v>
      </c>
      <c r="AB11" s="35" t="str">
        <f t="shared" si="5"/>
        <v>NB-IoT</v>
      </c>
      <c r="AC11" s="36">
        <f t="shared" si="6"/>
        <v>1</v>
      </c>
      <c r="AD11" s="37" t="e">
        <f t="shared" si="7"/>
        <v>#DIV/0!</v>
      </c>
      <c r="AE11" s="38" t="str">
        <f t="shared" si="8"/>
        <v>Review coverage, power and support model</v>
      </c>
    </row>
    <row r="12" spans="1:31" ht="26.4" customHeight="1">
      <c r="A12" s="26" t="s">
        <v>131</v>
      </c>
      <c r="B12" s="19" t="s">
        <v>132</v>
      </c>
      <c r="C12" s="20"/>
      <c r="D12" s="20">
        <v>1</v>
      </c>
      <c r="E12" s="21">
        <v>85</v>
      </c>
      <c r="F12" s="21">
        <v>95</v>
      </c>
      <c r="G12" s="21">
        <v>70</v>
      </c>
      <c r="H12" s="22">
        <v>0.3</v>
      </c>
      <c r="I12" s="22">
        <v>8</v>
      </c>
      <c r="J12" s="22">
        <v>6</v>
      </c>
      <c r="K12" s="20">
        <v>5</v>
      </c>
      <c r="L12" s="20">
        <v>5</v>
      </c>
      <c r="M12" s="19" t="s">
        <v>133</v>
      </c>
      <c r="N12" s="29" t="s">
        <v>134</v>
      </c>
      <c r="O12" s="19" t="s">
        <v>122</v>
      </c>
      <c r="P12" s="23">
        <f>C12*(E12+G12+Assumptions!$B$13)</f>
        <v>0</v>
      </c>
      <c r="Q12" s="23">
        <f>D12*Assumptions!$B$6*(Assumptions!$B$7+Assumptions!$B$8)+Assumptions!$B$5*(D12*Assumptions!$B$6*(Assumptions!$B$9+Assumptions!$B$10)+Assumptions!$B$12)</f>
        <v>1125.8</v>
      </c>
      <c r="R12" s="23">
        <f>C12*E12*Assumptions!$B$19/100*Assumptions!$B$5+C12*IF(I12&lt;=Assumptions!$B$5,Assumptions!$B$20,0)</f>
        <v>0</v>
      </c>
      <c r="S12" s="23">
        <f>C12*Assumptions!$B$11*12*Assumptions!$B$5</f>
        <v>0</v>
      </c>
      <c r="T12" s="23">
        <f t="shared" si="0"/>
        <v>1125.8</v>
      </c>
      <c r="U12" s="23" t="e">
        <f t="shared" si="1"/>
        <v>#DIV/0!</v>
      </c>
      <c r="V12" s="23">
        <f>C12*(F12+G12+Assumptions!$B$18+Assumptions!$B$15+Assumptions!$B$14*12*Assumptions!$B$5)</f>
        <v>0</v>
      </c>
      <c r="W12" s="23">
        <f>ROUND(C12*MAX(0,H12-Assumptions!$B$16)*12*Assumptions!$B$5*Assumptions!$B$17,2)</f>
        <v>0</v>
      </c>
      <c r="X12" s="23">
        <f>C12*F12*Assumptions!$B$19/100*Assumptions!$B$5+C12*IF(J12&lt;=Assumptions!$B$5,Assumptions!$B$20,0)</f>
        <v>0</v>
      </c>
      <c r="Y12" s="23">
        <f t="shared" si="2"/>
        <v>0</v>
      </c>
      <c r="Z12" s="23" t="e">
        <f t="shared" si="3"/>
        <v>#DIV/0!</v>
      </c>
      <c r="AA12" s="23">
        <f t="shared" si="4"/>
        <v>1125.8</v>
      </c>
      <c r="AB12" s="35" t="str">
        <f t="shared" si="5"/>
        <v>NB-IoT</v>
      </c>
      <c r="AC12" s="36">
        <f t="shared" si="6"/>
        <v>1</v>
      </c>
      <c r="AD12" s="37" t="e">
        <f t="shared" si="7"/>
        <v>#DIV/0!</v>
      </c>
      <c r="AE12" s="38" t="str">
        <f t="shared" si="8"/>
        <v>Review coverage, power and support model</v>
      </c>
    </row>
    <row r="13" spans="1:31" ht="26.4" customHeight="1">
      <c r="A13" s="26" t="s">
        <v>135</v>
      </c>
      <c r="B13" s="19" t="s">
        <v>132</v>
      </c>
      <c r="C13" s="20"/>
      <c r="D13" s="20">
        <v>1</v>
      </c>
      <c r="E13" s="21">
        <v>100</v>
      </c>
      <c r="F13" s="21">
        <v>110</v>
      </c>
      <c r="G13" s="21">
        <v>90</v>
      </c>
      <c r="H13" s="22">
        <v>0.5</v>
      </c>
      <c r="I13" s="22">
        <v>8</v>
      </c>
      <c r="J13" s="22">
        <v>6</v>
      </c>
      <c r="K13" s="20">
        <v>5</v>
      </c>
      <c r="L13" s="20">
        <v>5</v>
      </c>
      <c r="M13" s="19" t="s">
        <v>136</v>
      </c>
      <c r="N13" s="29" t="s">
        <v>137</v>
      </c>
      <c r="O13" s="19" t="s">
        <v>122</v>
      </c>
      <c r="P13" s="23">
        <f>C13*(E13+G13+Assumptions!$B$13)</f>
        <v>0</v>
      </c>
      <c r="Q13" s="23">
        <f>D13*Assumptions!$B$6*(Assumptions!$B$7+Assumptions!$B$8)+Assumptions!$B$5*(D13*Assumptions!$B$6*(Assumptions!$B$9+Assumptions!$B$10)+Assumptions!$B$12)</f>
        <v>1125.8</v>
      </c>
      <c r="R13" s="23">
        <f>C13*E13*Assumptions!$B$19/100*Assumptions!$B$5+C13*IF(I13&lt;=Assumptions!$B$5,Assumptions!$B$20,0)</f>
        <v>0</v>
      </c>
      <c r="S13" s="23">
        <f>C13*Assumptions!$B$11*12*Assumptions!$B$5</f>
        <v>0</v>
      </c>
      <c r="T13" s="23">
        <f t="shared" si="0"/>
        <v>1125.8</v>
      </c>
      <c r="U13" s="23" t="e">
        <f t="shared" si="1"/>
        <v>#DIV/0!</v>
      </c>
      <c r="V13" s="23">
        <f>C13*(F13+G13+Assumptions!$B$18+Assumptions!$B$15+Assumptions!$B$14*12*Assumptions!$B$5)</f>
        <v>0</v>
      </c>
      <c r="W13" s="23">
        <f>ROUND(C13*MAX(0,H13-Assumptions!$B$16)*12*Assumptions!$B$5*Assumptions!$B$17,2)</f>
        <v>0</v>
      </c>
      <c r="X13" s="23">
        <f>C13*F13*Assumptions!$B$19/100*Assumptions!$B$5+C13*IF(J13&lt;=Assumptions!$B$5,Assumptions!$B$20,0)</f>
        <v>0</v>
      </c>
      <c r="Y13" s="23">
        <f t="shared" si="2"/>
        <v>0</v>
      </c>
      <c r="Z13" s="23" t="e">
        <f t="shared" si="3"/>
        <v>#DIV/0!</v>
      </c>
      <c r="AA13" s="23">
        <f t="shared" si="4"/>
        <v>1125.8</v>
      </c>
      <c r="AB13" s="35" t="str">
        <f t="shared" si="5"/>
        <v>NB-IoT</v>
      </c>
      <c r="AC13" s="36">
        <f t="shared" si="6"/>
        <v>1</v>
      </c>
      <c r="AD13" s="37" t="e">
        <f t="shared" si="7"/>
        <v>#DIV/0!</v>
      </c>
      <c r="AE13" s="38" t="str">
        <f t="shared" si="8"/>
        <v>Review coverage, power and support model</v>
      </c>
    </row>
    <row r="14" spans="1:31" ht="26.4" customHeight="1">
      <c r="A14" s="26" t="s">
        <v>138</v>
      </c>
      <c r="B14" s="19" t="s">
        <v>139</v>
      </c>
      <c r="C14" s="20"/>
      <c r="D14" s="20">
        <v>1</v>
      </c>
      <c r="E14" s="21">
        <v>65</v>
      </c>
      <c r="F14" s="21">
        <v>75</v>
      </c>
      <c r="G14" s="21">
        <v>30</v>
      </c>
      <c r="H14" s="22">
        <v>0.1</v>
      </c>
      <c r="I14" s="22">
        <v>5</v>
      </c>
      <c r="J14" s="22">
        <v>4</v>
      </c>
      <c r="K14" s="20">
        <v>5</v>
      </c>
      <c r="L14" s="20">
        <v>5</v>
      </c>
      <c r="M14" s="19" t="s">
        <v>140</v>
      </c>
      <c r="N14" s="29" t="s">
        <v>141</v>
      </c>
      <c r="O14" s="19" t="s">
        <v>122</v>
      </c>
      <c r="P14" s="23">
        <f>C14*(E14+G14+Assumptions!$B$13)</f>
        <v>0</v>
      </c>
      <c r="Q14" s="23">
        <f>D14*Assumptions!$B$6*(Assumptions!$B$7+Assumptions!$B$8)+Assumptions!$B$5*(D14*Assumptions!$B$6*(Assumptions!$B$9+Assumptions!$B$10)+Assumptions!$B$12)</f>
        <v>1125.8</v>
      </c>
      <c r="R14" s="23">
        <f>C14*E14*Assumptions!$B$19/100*Assumptions!$B$5+C14*IF(I14&lt;=Assumptions!$B$5,Assumptions!$B$20,0)</f>
        <v>0</v>
      </c>
      <c r="S14" s="23">
        <f>C14*Assumptions!$B$11*12*Assumptions!$B$5</f>
        <v>0</v>
      </c>
      <c r="T14" s="23">
        <f t="shared" si="0"/>
        <v>1125.8</v>
      </c>
      <c r="U14" s="23" t="e">
        <f t="shared" si="1"/>
        <v>#DIV/0!</v>
      </c>
      <c r="V14" s="23">
        <f>C14*(F14+G14+Assumptions!$B$18+Assumptions!$B$15+Assumptions!$B$14*12*Assumptions!$B$5)</f>
        <v>0</v>
      </c>
      <c r="W14" s="23">
        <f>ROUND(C14*MAX(0,H14-Assumptions!$B$16)*12*Assumptions!$B$5*Assumptions!$B$17,2)</f>
        <v>0</v>
      </c>
      <c r="X14" s="23">
        <f>C14*F14*Assumptions!$B$19/100*Assumptions!$B$5+C14*IF(J14&lt;=Assumptions!$B$5,Assumptions!$B$20,0)</f>
        <v>0</v>
      </c>
      <c r="Y14" s="23">
        <f t="shared" si="2"/>
        <v>0</v>
      </c>
      <c r="Z14" s="23" t="e">
        <f t="shared" si="3"/>
        <v>#DIV/0!</v>
      </c>
      <c r="AA14" s="23">
        <f t="shared" si="4"/>
        <v>1125.8</v>
      </c>
      <c r="AB14" s="35" t="str">
        <f t="shared" si="5"/>
        <v>NB-IoT</v>
      </c>
      <c r="AC14" s="36">
        <f t="shared" si="6"/>
        <v>1</v>
      </c>
      <c r="AD14" s="37" t="e">
        <f t="shared" si="7"/>
        <v>#DIV/0!</v>
      </c>
      <c r="AE14" s="38" t="str">
        <f t="shared" si="8"/>
        <v>Review coverage, power and support model</v>
      </c>
    </row>
    <row r="15" spans="1:31" ht="26.4" customHeight="1">
      <c r="A15" s="26" t="s">
        <v>142</v>
      </c>
      <c r="B15" s="19" t="s">
        <v>143</v>
      </c>
      <c r="C15" s="20"/>
      <c r="D15" s="20">
        <v>1</v>
      </c>
      <c r="E15" s="21">
        <v>150</v>
      </c>
      <c r="F15" s="21">
        <v>165</v>
      </c>
      <c r="G15" s="21">
        <v>80</v>
      </c>
      <c r="H15" s="22">
        <v>2</v>
      </c>
      <c r="I15" s="22">
        <v>5</v>
      </c>
      <c r="J15" s="22">
        <v>4</v>
      </c>
      <c r="K15" s="20">
        <v>4</v>
      </c>
      <c r="L15" s="20">
        <v>5</v>
      </c>
      <c r="M15" s="19" t="s">
        <v>144</v>
      </c>
      <c r="N15" s="29" t="s">
        <v>145</v>
      </c>
      <c r="O15" s="19" t="s">
        <v>105</v>
      </c>
      <c r="P15" s="23">
        <f>C15*(E15+G15+Assumptions!$B$13)</f>
        <v>0</v>
      </c>
      <c r="Q15" s="23">
        <f>D15*Assumptions!$B$6*(Assumptions!$B$7+Assumptions!$B$8)+Assumptions!$B$5*(D15*Assumptions!$B$6*(Assumptions!$B$9+Assumptions!$B$10)+Assumptions!$B$12)</f>
        <v>1125.8</v>
      </c>
      <c r="R15" s="23">
        <f>C15*E15*Assumptions!$B$19/100*Assumptions!$B$5+C15*IF(I15&lt;=Assumptions!$B$5,Assumptions!$B$20,0)</f>
        <v>0</v>
      </c>
      <c r="S15" s="23">
        <f>C15*Assumptions!$B$11*12*Assumptions!$B$5</f>
        <v>0</v>
      </c>
      <c r="T15" s="23">
        <f t="shared" si="0"/>
        <v>1125.8</v>
      </c>
      <c r="U15" s="23" t="e">
        <f t="shared" si="1"/>
        <v>#DIV/0!</v>
      </c>
      <c r="V15" s="23">
        <f>C15*(F15+G15+Assumptions!$B$18+Assumptions!$B$15+Assumptions!$B$14*12*Assumptions!$B$5)</f>
        <v>0</v>
      </c>
      <c r="W15" s="23">
        <f>ROUND(C15*MAX(0,H15-Assumptions!$B$16)*12*Assumptions!$B$5*Assumptions!$B$17,2)</f>
        <v>0</v>
      </c>
      <c r="X15" s="23">
        <f>C15*F15*Assumptions!$B$19/100*Assumptions!$B$5+C15*IF(J15&lt;=Assumptions!$B$5,Assumptions!$B$20,0)</f>
        <v>0</v>
      </c>
      <c r="Y15" s="23">
        <f t="shared" si="2"/>
        <v>0</v>
      </c>
      <c r="Z15" s="23" t="e">
        <f t="shared" si="3"/>
        <v>#DIV/0!</v>
      </c>
      <c r="AA15" s="23">
        <f t="shared" si="4"/>
        <v>1125.8</v>
      </c>
      <c r="AB15" s="35" t="str">
        <f t="shared" si="5"/>
        <v>NB-IoT</v>
      </c>
      <c r="AC15" s="36">
        <f t="shared" si="6"/>
        <v>1</v>
      </c>
      <c r="AD15" s="37" t="e">
        <f t="shared" si="7"/>
        <v>#DIV/0!</v>
      </c>
      <c r="AE15" s="38" t="str">
        <f t="shared" si="8"/>
        <v>Review coverage, power and support model</v>
      </c>
    </row>
    <row r="16" spans="1:31" ht="26.4" customHeight="1">
      <c r="A16" s="26" t="s">
        <v>146</v>
      </c>
      <c r="B16" s="19" t="s">
        <v>147</v>
      </c>
      <c r="C16" s="20"/>
      <c r="D16" s="20">
        <v>1</v>
      </c>
      <c r="E16" s="21">
        <v>124</v>
      </c>
      <c r="F16" s="21">
        <v>124</v>
      </c>
      <c r="G16" s="21">
        <v>75</v>
      </c>
      <c r="H16" s="22">
        <v>0.2</v>
      </c>
      <c r="I16" s="22">
        <v>8</v>
      </c>
      <c r="J16" s="22">
        <v>6</v>
      </c>
      <c r="K16" s="20">
        <v>5</v>
      </c>
      <c r="L16" s="20">
        <v>5</v>
      </c>
      <c r="M16" s="19" t="s">
        <v>148</v>
      </c>
      <c r="N16" s="29" t="s">
        <v>149</v>
      </c>
      <c r="O16" s="19" t="s">
        <v>122</v>
      </c>
      <c r="P16" s="23">
        <f>C16*(E16+G16+Assumptions!$B$13)</f>
        <v>0</v>
      </c>
      <c r="Q16" s="23">
        <f>D16*Assumptions!$B$6*(Assumptions!$B$7+Assumptions!$B$8)+Assumptions!$B$5*(D16*Assumptions!$B$6*(Assumptions!$B$9+Assumptions!$B$10)+Assumptions!$B$12)</f>
        <v>1125.8</v>
      </c>
      <c r="R16" s="23">
        <f>C16*E16*Assumptions!$B$19/100*Assumptions!$B$5+C16*IF(I16&lt;=Assumptions!$B$5,Assumptions!$B$20,0)</f>
        <v>0</v>
      </c>
      <c r="S16" s="23">
        <f>C16*Assumptions!$B$11*12*Assumptions!$B$5</f>
        <v>0</v>
      </c>
      <c r="T16" s="23">
        <f t="shared" si="0"/>
        <v>1125.8</v>
      </c>
      <c r="U16" s="23" t="e">
        <f t="shared" si="1"/>
        <v>#DIV/0!</v>
      </c>
      <c r="V16" s="23">
        <f>C16*(F16+G16+Assumptions!$B$18+Assumptions!$B$15+Assumptions!$B$14*12*Assumptions!$B$5)</f>
        <v>0</v>
      </c>
      <c r="W16" s="23">
        <f>ROUND(C16*MAX(0,H16-Assumptions!$B$16)*12*Assumptions!$B$5*Assumptions!$B$17,2)</f>
        <v>0</v>
      </c>
      <c r="X16" s="23">
        <f>C16*F16*Assumptions!$B$19/100*Assumptions!$B$5+C16*IF(J16&lt;=Assumptions!$B$5,Assumptions!$B$20,0)</f>
        <v>0</v>
      </c>
      <c r="Y16" s="23">
        <f t="shared" si="2"/>
        <v>0</v>
      </c>
      <c r="Z16" s="23" t="e">
        <f t="shared" si="3"/>
        <v>#DIV/0!</v>
      </c>
      <c r="AA16" s="23">
        <f t="shared" si="4"/>
        <v>1125.8</v>
      </c>
      <c r="AB16" s="35" t="str">
        <f t="shared" si="5"/>
        <v>NB-IoT</v>
      </c>
      <c r="AC16" s="36">
        <f t="shared" si="6"/>
        <v>1</v>
      </c>
      <c r="AD16" s="37" t="e">
        <f t="shared" si="7"/>
        <v>#DIV/0!</v>
      </c>
      <c r="AE16" s="38" t="str">
        <f t="shared" si="8"/>
        <v>Review coverage, power and support model</v>
      </c>
    </row>
    <row r="17" spans="1:31" ht="26.4" customHeight="1">
      <c r="A17" s="26" t="s">
        <v>150</v>
      </c>
      <c r="B17" s="19" t="s">
        <v>147</v>
      </c>
      <c r="C17" s="20"/>
      <c r="D17" s="20">
        <v>1</v>
      </c>
      <c r="E17" s="21">
        <v>450</v>
      </c>
      <c r="F17" s="21">
        <v>475</v>
      </c>
      <c r="G17" s="21">
        <v>180</v>
      </c>
      <c r="H17" s="22">
        <v>5</v>
      </c>
      <c r="I17" s="22">
        <v>4</v>
      </c>
      <c r="J17" s="22">
        <v>3</v>
      </c>
      <c r="K17" s="20">
        <v>2</v>
      </c>
      <c r="L17" s="20">
        <v>2</v>
      </c>
      <c r="M17" s="19" t="s">
        <v>151</v>
      </c>
      <c r="N17" s="29" t="s">
        <v>152</v>
      </c>
      <c r="O17" s="19" t="s">
        <v>114</v>
      </c>
      <c r="P17" s="23">
        <f>C17*(E17+G17+Assumptions!$B$13)</f>
        <v>0</v>
      </c>
      <c r="Q17" s="23">
        <f>D17*Assumptions!$B$6*(Assumptions!$B$7+Assumptions!$B$8)+Assumptions!$B$5*(D17*Assumptions!$B$6*(Assumptions!$B$9+Assumptions!$B$10)+Assumptions!$B$12)</f>
        <v>1125.8</v>
      </c>
      <c r="R17" s="23">
        <f>C17*E17*Assumptions!$B$19/100*Assumptions!$B$5+C17*IF(I17&lt;=Assumptions!$B$5,Assumptions!$B$20,0)</f>
        <v>0</v>
      </c>
      <c r="S17" s="23">
        <f>C17*Assumptions!$B$11*12*Assumptions!$B$5</f>
        <v>0</v>
      </c>
      <c r="T17" s="23">
        <f t="shared" si="0"/>
        <v>1125.8</v>
      </c>
      <c r="U17" s="23" t="e">
        <f t="shared" si="1"/>
        <v>#DIV/0!</v>
      </c>
      <c r="V17" s="23">
        <f>C17*(F17+G17+Assumptions!$B$18+Assumptions!$B$15+Assumptions!$B$14*12*Assumptions!$B$5)</f>
        <v>0</v>
      </c>
      <c r="W17" s="23">
        <f>ROUND(C17*MAX(0,H17-Assumptions!$B$16)*12*Assumptions!$B$5*Assumptions!$B$17,2)</f>
        <v>0</v>
      </c>
      <c r="X17" s="23">
        <f>C17*F17*Assumptions!$B$19/100*Assumptions!$B$5+C17*IF(J17&lt;=Assumptions!$B$5,Assumptions!$B$20,0)</f>
        <v>0</v>
      </c>
      <c r="Y17" s="23">
        <f t="shared" si="2"/>
        <v>0</v>
      </c>
      <c r="Z17" s="23" t="e">
        <f t="shared" si="3"/>
        <v>#DIV/0!</v>
      </c>
      <c r="AA17" s="23">
        <f t="shared" si="4"/>
        <v>1125.8</v>
      </c>
      <c r="AB17" s="35" t="str">
        <f t="shared" si="5"/>
        <v>Not decisive</v>
      </c>
      <c r="AC17" s="36">
        <f t="shared" si="6"/>
        <v>1</v>
      </c>
      <c r="AD17" s="37" t="e">
        <f t="shared" si="7"/>
        <v>#DIV/0!</v>
      </c>
      <c r="AE17" s="38" t="str">
        <f t="shared" si="8"/>
        <v>Technical constraint dominates cost</v>
      </c>
    </row>
    <row r="18" spans="1:31" ht="26.4" customHeight="1">
      <c r="A18" s="26" t="s">
        <v>153</v>
      </c>
      <c r="B18" s="19" t="s">
        <v>154</v>
      </c>
      <c r="C18" s="20"/>
      <c r="D18" s="20">
        <v>1</v>
      </c>
      <c r="E18" s="21">
        <v>100</v>
      </c>
      <c r="F18" s="21">
        <v>110</v>
      </c>
      <c r="G18" s="21">
        <v>70</v>
      </c>
      <c r="H18" s="22">
        <v>2</v>
      </c>
      <c r="I18" s="22">
        <v>5</v>
      </c>
      <c r="J18" s="22">
        <v>4</v>
      </c>
      <c r="K18" s="20">
        <v>4</v>
      </c>
      <c r="L18" s="20">
        <v>4</v>
      </c>
      <c r="M18" s="19" t="s">
        <v>155</v>
      </c>
      <c r="N18" s="29" t="s">
        <v>156</v>
      </c>
      <c r="O18" s="19" t="s">
        <v>105</v>
      </c>
      <c r="P18" s="23">
        <f>C18*(E18+G18+Assumptions!$B$13)</f>
        <v>0</v>
      </c>
      <c r="Q18" s="23">
        <f>D18*Assumptions!$B$6*(Assumptions!$B$7+Assumptions!$B$8)+Assumptions!$B$5*(D18*Assumptions!$B$6*(Assumptions!$B$9+Assumptions!$B$10)+Assumptions!$B$12)</f>
        <v>1125.8</v>
      </c>
      <c r="R18" s="23">
        <f>C18*E18*Assumptions!$B$19/100*Assumptions!$B$5+C18*IF(I18&lt;=Assumptions!$B$5,Assumptions!$B$20,0)</f>
        <v>0</v>
      </c>
      <c r="S18" s="23">
        <f>C18*Assumptions!$B$11*12*Assumptions!$B$5</f>
        <v>0</v>
      </c>
      <c r="T18" s="23">
        <f t="shared" si="0"/>
        <v>1125.8</v>
      </c>
      <c r="U18" s="23" t="e">
        <f t="shared" si="1"/>
        <v>#DIV/0!</v>
      </c>
      <c r="V18" s="23">
        <f>C18*(F18+G18+Assumptions!$B$18+Assumptions!$B$15+Assumptions!$B$14*12*Assumptions!$B$5)</f>
        <v>0</v>
      </c>
      <c r="W18" s="23">
        <f>ROUND(C18*MAX(0,H18-Assumptions!$B$16)*12*Assumptions!$B$5*Assumptions!$B$17,2)</f>
        <v>0</v>
      </c>
      <c r="X18" s="23">
        <f>C18*F18*Assumptions!$B$19/100*Assumptions!$B$5+C18*IF(J18&lt;=Assumptions!$B$5,Assumptions!$B$20,0)</f>
        <v>0</v>
      </c>
      <c r="Y18" s="23">
        <f t="shared" si="2"/>
        <v>0</v>
      </c>
      <c r="Z18" s="23" t="e">
        <f t="shared" si="3"/>
        <v>#DIV/0!</v>
      </c>
      <c r="AA18" s="23">
        <f t="shared" si="4"/>
        <v>1125.8</v>
      </c>
      <c r="AB18" s="35" t="str">
        <f t="shared" si="5"/>
        <v>NB-IoT</v>
      </c>
      <c r="AC18" s="36">
        <f t="shared" si="6"/>
        <v>1</v>
      </c>
      <c r="AD18" s="37" t="e">
        <f t="shared" si="7"/>
        <v>#DIV/0!</v>
      </c>
      <c r="AE18" s="38" t="str">
        <f t="shared" si="8"/>
        <v>Review coverage, power and support model</v>
      </c>
    </row>
    <row r="19" spans="1:31" ht="26.4" customHeight="1">
      <c r="A19" s="26" t="s">
        <v>157</v>
      </c>
      <c r="B19" s="19" t="s">
        <v>158</v>
      </c>
      <c r="C19" s="20"/>
      <c r="D19" s="20">
        <v>1</v>
      </c>
      <c r="E19" s="21">
        <v>140</v>
      </c>
      <c r="F19" s="21">
        <v>150</v>
      </c>
      <c r="G19" s="21">
        <v>180</v>
      </c>
      <c r="H19" s="22">
        <v>0.5</v>
      </c>
      <c r="I19" s="22">
        <v>8</v>
      </c>
      <c r="J19" s="22">
        <v>6</v>
      </c>
      <c r="K19" s="20">
        <v>4</v>
      </c>
      <c r="L19" s="20">
        <v>4</v>
      </c>
      <c r="M19" s="19" t="s">
        <v>159</v>
      </c>
      <c r="N19" s="29" t="s">
        <v>160</v>
      </c>
      <c r="O19" s="19" t="s">
        <v>114</v>
      </c>
      <c r="P19" s="23">
        <f>C19*(E19+G19+Assumptions!$B$13)</f>
        <v>0</v>
      </c>
      <c r="Q19" s="23">
        <f>D19*Assumptions!$B$6*(Assumptions!$B$7+Assumptions!$B$8)+Assumptions!$B$5*(D19*Assumptions!$B$6*(Assumptions!$B$9+Assumptions!$B$10)+Assumptions!$B$12)</f>
        <v>1125.8</v>
      </c>
      <c r="R19" s="23">
        <f>C19*E19*Assumptions!$B$19/100*Assumptions!$B$5+C19*IF(I19&lt;=Assumptions!$B$5,Assumptions!$B$20,0)</f>
        <v>0</v>
      </c>
      <c r="S19" s="23">
        <f>C19*Assumptions!$B$11*12*Assumptions!$B$5</f>
        <v>0</v>
      </c>
      <c r="T19" s="23">
        <f t="shared" si="0"/>
        <v>1125.8</v>
      </c>
      <c r="U19" s="23" t="e">
        <f t="shared" si="1"/>
        <v>#DIV/0!</v>
      </c>
      <c r="V19" s="23">
        <f>C19*(F19+G19+Assumptions!$B$18+Assumptions!$B$15+Assumptions!$B$14*12*Assumptions!$B$5)</f>
        <v>0</v>
      </c>
      <c r="W19" s="23">
        <f>ROUND(C19*MAX(0,H19-Assumptions!$B$16)*12*Assumptions!$B$5*Assumptions!$B$17,2)</f>
        <v>0</v>
      </c>
      <c r="X19" s="23">
        <f>C19*F19*Assumptions!$B$19/100*Assumptions!$B$5+C19*IF(J19&lt;=Assumptions!$B$5,Assumptions!$B$20,0)</f>
        <v>0</v>
      </c>
      <c r="Y19" s="23">
        <f t="shared" si="2"/>
        <v>0</v>
      </c>
      <c r="Z19" s="23" t="e">
        <f t="shared" si="3"/>
        <v>#DIV/0!</v>
      </c>
      <c r="AA19" s="23">
        <f t="shared" si="4"/>
        <v>1125.8</v>
      </c>
      <c r="AB19" s="35" t="str">
        <f t="shared" si="5"/>
        <v>NB-IoT</v>
      </c>
      <c r="AC19" s="36">
        <f t="shared" si="6"/>
        <v>1</v>
      </c>
      <c r="AD19" s="37" t="e">
        <f t="shared" si="7"/>
        <v>#DIV/0!</v>
      </c>
      <c r="AE19" s="38" t="str">
        <f t="shared" si="8"/>
        <v>Review coverage, power and support model</v>
      </c>
    </row>
    <row r="20" spans="1:31" ht="26.4" customHeight="1">
      <c r="A20" s="26" t="s">
        <v>161</v>
      </c>
      <c r="B20" s="19" t="s">
        <v>162</v>
      </c>
      <c r="C20" s="20"/>
      <c r="D20" s="20">
        <v>1</v>
      </c>
      <c r="E20" s="21">
        <v>180</v>
      </c>
      <c r="F20" s="21">
        <v>195</v>
      </c>
      <c r="G20" s="21">
        <v>200</v>
      </c>
      <c r="H20" s="22">
        <v>0.5</v>
      </c>
      <c r="I20" s="22">
        <v>6</v>
      </c>
      <c r="J20" s="22">
        <v>5</v>
      </c>
      <c r="K20" s="20">
        <v>4</v>
      </c>
      <c r="L20" s="20">
        <v>4</v>
      </c>
      <c r="M20" s="19" t="s">
        <v>163</v>
      </c>
      <c r="N20" s="29" t="s">
        <v>164</v>
      </c>
      <c r="O20" s="19" t="s">
        <v>114</v>
      </c>
      <c r="P20" s="23">
        <f>C20*(E20+G20+Assumptions!$B$13)</f>
        <v>0</v>
      </c>
      <c r="Q20" s="23">
        <f>D20*Assumptions!$B$6*(Assumptions!$B$7+Assumptions!$B$8)+Assumptions!$B$5*(D20*Assumptions!$B$6*(Assumptions!$B$9+Assumptions!$B$10)+Assumptions!$B$12)</f>
        <v>1125.8</v>
      </c>
      <c r="R20" s="23">
        <f>C20*E20*Assumptions!$B$19/100*Assumptions!$B$5+C20*IF(I20&lt;=Assumptions!$B$5,Assumptions!$B$20,0)</f>
        <v>0</v>
      </c>
      <c r="S20" s="23">
        <f>C20*Assumptions!$B$11*12*Assumptions!$B$5</f>
        <v>0</v>
      </c>
      <c r="T20" s="23">
        <f t="shared" si="0"/>
        <v>1125.8</v>
      </c>
      <c r="U20" s="23" t="e">
        <f t="shared" si="1"/>
        <v>#DIV/0!</v>
      </c>
      <c r="V20" s="23">
        <f>C20*(F20+G20+Assumptions!$B$18+Assumptions!$B$15+Assumptions!$B$14*12*Assumptions!$B$5)</f>
        <v>0</v>
      </c>
      <c r="W20" s="23">
        <f>ROUND(C20*MAX(0,H20-Assumptions!$B$16)*12*Assumptions!$B$5*Assumptions!$B$17,2)</f>
        <v>0</v>
      </c>
      <c r="X20" s="23">
        <f>C20*F20*Assumptions!$B$19/100*Assumptions!$B$5+C20*IF(J20&lt;=Assumptions!$B$5,Assumptions!$B$20,0)</f>
        <v>0</v>
      </c>
      <c r="Y20" s="23">
        <f t="shared" si="2"/>
        <v>0</v>
      </c>
      <c r="Z20" s="23" t="e">
        <f t="shared" si="3"/>
        <v>#DIV/0!</v>
      </c>
      <c r="AA20" s="23">
        <f t="shared" si="4"/>
        <v>1125.8</v>
      </c>
      <c r="AB20" s="35" t="str">
        <f t="shared" si="5"/>
        <v>NB-IoT</v>
      </c>
      <c r="AC20" s="36">
        <f t="shared" si="6"/>
        <v>1</v>
      </c>
      <c r="AD20" s="37" t="e">
        <f t="shared" si="7"/>
        <v>#DIV/0!</v>
      </c>
      <c r="AE20" s="38" t="str">
        <f t="shared" si="8"/>
        <v>Review coverage, power and support model</v>
      </c>
    </row>
  </sheetData>
  <mergeCells count="2">
    <mergeCell ref="A1:AE1"/>
    <mergeCell ref="A2:A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sqref="A1:F1"/>
    </sheetView>
  </sheetViews>
  <sheetFormatPr defaultRowHeight="13.8"/>
  <cols>
    <col min="1" max="1" width="35" customWidth="1"/>
    <col min="2" max="3" width="24" customWidth="1"/>
    <col min="4" max="4" width="28" customWidth="1"/>
    <col min="5" max="6" width="42" customWidth="1"/>
  </cols>
  <sheetData>
    <row r="1" spans="1:6" ht="25.95" customHeight="1">
      <c r="A1" s="51" t="s">
        <v>165</v>
      </c>
      <c r="B1" s="51" t="s">
        <v>165</v>
      </c>
      <c r="C1" s="51" t="s">
        <v>165</v>
      </c>
      <c r="D1" s="51" t="s">
        <v>165</v>
      </c>
      <c r="E1" s="51" t="s">
        <v>165</v>
      </c>
      <c r="F1" s="51" t="s">
        <v>165</v>
      </c>
    </row>
    <row r="2" spans="1:6" ht="25.95" customHeight="1">
      <c r="A2" s="52" t="s">
        <v>166</v>
      </c>
      <c r="B2" s="52" t="s">
        <v>166</v>
      </c>
      <c r="C2" s="52" t="s">
        <v>166</v>
      </c>
      <c r="D2" s="52" t="s">
        <v>166</v>
      </c>
      <c r="E2" s="52" t="s">
        <v>166</v>
      </c>
      <c r="F2" s="52" t="s">
        <v>166</v>
      </c>
    </row>
    <row r="4" spans="1:6" ht="15" customHeight="1">
      <c r="A4" s="1" t="s">
        <v>167</v>
      </c>
      <c r="B4" s="2" t="s">
        <v>168</v>
      </c>
      <c r="C4" s="2" t="s">
        <v>169</v>
      </c>
      <c r="D4" s="2" t="s">
        <v>170</v>
      </c>
      <c r="E4" s="2" t="s">
        <v>171</v>
      </c>
      <c r="F4" s="3" t="s">
        <v>172</v>
      </c>
    </row>
    <row r="5" spans="1:6" ht="26.4" customHeight="1">
      <c r="A5" s="25" t="s">
        <v>173</v>
      </c>
      <c r="B5" s="14" t="s">
        <v>174</v>
      </c>
      <c r="C5" s="14" t="s">
        <v>175</v>
      </c>
      <c r="D5" s="28" t="s">
        <v>17</v>
      </c>
      <c r="E5" s="14" t="s">
        <v>176</v>
      </c>
      <c r="F5" s="14" t="s">
        <v>177</v>
      </c>
    </row>
    <row r="6" spans="1:6" ht="26.4" customHeight="1">
      <c r="A6" s="26" t="s">
        <v>178</v>
      </c>
      <c r="B6" s="19" t="s">
        <v>179</v>
      </c>
      <c r="C6" s="19" t="s">
        <v>174</v>
      </c>
      <c r="D6" s="29" t="s">
        <v>18</v>
      </c>
      <c r="E6" s="19" t="s">
        <v>180</v>
      </c>
      <c r="F6" s="19" t="s">
        <v>181</v>
      </c>
    </row>
    <row r="7" spans="1:6" ht="15" customHeight="1">
      <c r="A7" s="26" t="s">
        <v>182</v>
      </c>
      <c r="B7" s="19" t="s">
        <v>174</v>
      </c>
      <c r="C7" s="19" t="s">
        <v>174</v>
      </c>
      <c r="D7" s="29" t="s">
        <v>183</v>
      </c>
      <c r="E7" s="19" t="s">
        <v>184</v>
      </c>
      <c r="F7" s="19" t="s">
        <v>185</v>
      </c>
    </row>
    <row r="8" spans="1:6" ht="26.4" customHeight="1">
      <c r="A8" s="26" t="s">
        <v>186</v>
      </c>
      <c r="B8" s="19" t="s">
        <v>187</v>
      </c>
      <c r="C8" s="19" t="s">
        <v>188</v>
      </c>
      <c r="D8" s="29" t="s">
        <v>189</v>
      </c>
      <c r="E8" s="19" t="s">
        <v>190</v>
      </c>
      <c r="F8" s="19" t="s">
        <v>191</v>
      </c>
    </row>
    <row r="9" spans="1:6" ht="26.4" customHeight="1">
      <c r="A9" s="26" t="s">
        <v>192</v>
      </c>
      <c r="B9" s="19" t="s">
        <v>193</v>
      </c>
      <c r="C9" s="19" t="s">
        <v>193</v>
      </c>
      <c r="D9" s="29" t="s">
        <v>194</v>
      </c>
      <c r="E9" s="19" t="s">
        <v>195</v>
      </c>
      <c r="F9" s="19" t="s">
        <v>196</v>
      </c>
    </row>
    <row r="10" spans="1:6" ht="26.4" customHeight="1">
      <c r="A10" s="26" t="s">
        <v>197</v>
      </c>
      <c r="B10" s="19" t="s">
        <v>198</v>
      </c>
      <c r="C10" s="19" t="s">
        <v>199</v>
      </c>
      <c r="D10" s="29" t="s">
        <v>200</v>
      </c>
      <c r="E10" s="19" t="s">
        <v>201</v>
      </c>
      <c r="F10" s="19" t="s">
        <v>202</v>
      </c>
    </row>
    <row r="11" spans="1:6" ht="26.4" customHeight="1">
      <c r="A11" s="26" t="s">
        <v>203</v>
      </c>
      <c r="B11" s="19" t="s">
        <v>204</v>
      </c>
      <c r="C11" s="19" t="s">
        <v>205</v>
      </c>
      <c r="D11" s="29" t="s">
        <v>206</v>
      </c>
      <c r="E11" s="19" t="s">
        <v>207</v>
      </c>
      <c r="F11" s="19" t="s">
        <v>208</v>
      </c>
    </row>
    <row r="12" spans="1:6" ht="26.4" customHeight="1">
      <c r="A12" s="27" t="s">
        <v>209</v>
      </c>
      <c r="B12" s="24" t="s">
        <v>210</v>
      </c>
      <c r="C12" s="24" t="s">
        <v>211</v>
      </c>
      <c r="D12" s="30" t="s">
        <v>18</v>
      </c>
      <c r="E12" s="24" t="s">
        <v>212</v>
      </c>
      <c r="F12" s="24" t="s">
        <v>213</v>
      </c>
    </row>
    <row r="15" spans="1:6" ht="15" customHeight="1">
      <c r="A15" s="68" t="s">
        <v>214</v>
      </c>
      <c r="B15" s="68" t="s">
        <v>214</v>
      </c>
      <c r="C15" s="68" t="s">
        <v>214</v>
      </c>
      <c r="D15" s="68" t="s">
        <v>214</v>
      </c>
      <c r="E15" s="68" t="s">
        <v>214</v>
      </c>
      <c r="F15" s="68" t="s">
        <v>214</v>
      </c>
    </row>
  </sheetData>
  <mergeCells count="3">
    <mergeCell ref="A1:F1"/>
    <mergeCell ref="A2:F2"/>
    <mergeCell ref="A15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workbookViewId="0">
      <selection sqref="A1:F1"/>
    </sheetView>
  </sheetViews>
  <sheetFormatPr defaultRowHeight="13.8"/>
  <cols>
    <col min="1" max="1" width="27" customWidth="1"/>
    <col min="2" max="2" width="46" customWidth="1"/>
    <col min="3" max="3" width="58" customWidth="1"/>
    <col min="4" max="5" width="17" customWidth="1"/>
    <col min="6" max="6" width="38" customWidth="1"/>
  </cols>
  <sheetData>
    <row r="1" spans="1:6" ht="25.95" customHeight="1">
      <c r="A1" s="51" t="s">
        <v>215</v>
      </c>
      <c r="B1" s="51" t="s">
        <v>215</v>
      </c>
      <c r="C1" s="51" t="s">
        <v>215</v>
      </c>
      <c r="D1" s="51" t="s">
        <v>215</v>
      </c>
      <c r="E1" s="51" t="s">
        <v>215</v>
      </c>
      <c r="F1" s="51" t="s">
        <v>215</v>
      </c>
    </row>
    <row r="2" spans="1:6" ht="25.95" customHeight="1">
      <c r="A2" s="52" t="s">
        <v>216</v>
      </c>
      <c r="B2" s="52" t="s">
        <v>216</v>
      </c>
      <c r="C2" s="52" t="s">
        <v>216</v>
      </c>
      <c r="D2" s="52" t="s">
        <v>216</v>
      </c>
      <c r="E2" s="52" t="s">
        <v>216</v>
      </c>
      <c r="F2" s="52" t="s">
        <v>216</v>
      </c>
    </row>
    <row r="4" spans="1:6" ht="15" customHeight="1">
      <c r="A4" s="1" t="s">
        <v>217</v>
      </c>
      <c r="B4" s="2" t="s">
        <v>218</v>
      </c>
      <c r="C4" s="2" t="s">
        <v>219</v>
      </c>
      <c r="D4" s="2" t="s">
        <v>220</v>
      </c>
      <c r="E4" s="2" t="s">
        <v>221</v>
      </c>
      <c r="F4" s="3" t="s">
        <v>222</v>
      </c>
    </row>
    <row r="5" spans="1:6" ht="27.6">
      <c r="A5" s="25" t="s">
        <v>223</v>
      </c>
      <c r="B5" s="14" t="s">
        <v>288</v>
      </c>
      <c r="C5" s="48"/>
      <c r="D5" s="45">
        <f>DATE(2026,7,31)</f>
        <v>46234</v>
      </c>
      <c r="E5" s="14" t="s">
        <v>289</v>
      </c>
      <c r="F5" s="14" t="s">
        <v>290</v>
      </c>
    </row>
    <row r="6" spans="1:6">
      <c r="A6" s="26" t="s">
        <v>291</v>
      </c>
      <c r="B6" s="19" t="s">
        <v>292</v>
      </c>
      <c r="C6" s="49"/>
      <c r="D6" s="46">
        <f>DATE(2026,7,31)</f>
        <v>46234</v>
      </c>
      <c r="E6" s="19" t="s">
        <v>289</v>
      </c>
      <c r="F6" s="19" t="s">
        <v>293</v>
      </c>
    </row>
    <row r="7" spans="1:6" ht="26.4" customHeight="1">
      <c r="A7" s="26" t="s">
        <v>225</v>
      </c>
      <c r="B7" s="19" t="s">
        <v>226</v>
      </c>
      <c r="C7" s="49" t="s">
        <v>72</v>
      </c>
      <c r="D7" s="46">
        <v>46230</v>
      </c>
      <c r="E7" s="19" t="s">
        <v>227</v>
      </c>
      <c r="F7" s="19" t="s">
        <v>228</v>
      </c>
    </row>
    <row r="8" spans="1:6" ht="26.4" customHeight="1">
      <c r="A8" s="26" t="s">
        <v>229</v>
      </c>
      <c r="B8" s="19" t="s">
        <v>230</v>
      </c>
      <c r="C8" s="49" t="s">
        <v>231</v>
      </c>
      <c r="D8" s="46">
        <v>46230</v>
      </c>
      <c r="E8" s="19" t="s">
        <v>232</v>
      </c>
      <c r="F8" s="19" t="s">
        <v>233</v>
      </c>
    </row>
    <row r="9" spans="1:6" ht="26.4" customHeight="1">
      <c r="A9" s="26" t="s">
        <v>234</v>
      </c>
      <c r="B9" s="19" t="s">
        <v>235</v>
      </c>
      <c r="C9" s="49" t="s">
        <v>236</v>
      </c>
      <c r="D9" s="46">
        <v>46230</v>
      </c>
      <c r="E9" s="19" t="s">
        <v>232</v>
      </c>
      <c r="F9" s="19" t="s">
        <v>237</v>
      </c>
    </row>
    <row r="10" spans="1:6" ht="26.4" customHeight="1">
      <c r="A10" s="26" t="s">
        <v>238</v>
      </c>
      <c r="B10" s="19" t="s">
        <v>239</v>
      </c>
      <c r="C10" s="49" t="s">
        <v>240</v>
      </c>
      <c r="D10" s="46">
        <v>46230</v>
      </c>
      <c r="E10" s="19" t="s">
        <v>232</v>
      </c>
      <c r="F10" s="19" t="s">
        <v>241</v>
      </c>
    </row>
    <row r="11" spans="1:6" ht="26.4" customHeight="1">
      <c r="A11" s="26" t="s">
        <v>242</v>
      </c>
      <c r="B11" s="19" t="s">
        <v>243</v>
      </c>
      <c r="C11" s="49" t="s">
        <v>244</v>
      </c>
      <c r="D11" s="46">
        <v>46230</v>
      </c>
      <c r="E11" s="19" t="s">
        <v>232</v>
      </c>
      <c r="F11" s="19" t="s">
        <v>245</v>
      </c>
    </row>
    <row r="12" spans="1:6" ht="26.4" customHeight="1">
      <c r="A12" s="26" t="s">
        <v>246</v>
      </c>
      <c r="B12" s="19" t="s">
        <v>247</v>
      </c>
      <c r="C12" s="49" t="s">
        <v>248</v>
      </c>
      <c r="D12" s="46">
        <v>46230</v>
      </c>
      <c r="E12" s="19" t="s">
        <v>249</v>
      </c>
      <c r="F12" s="19" t="s">
        <v>250</v>
      </c>
    </row>
    <row r="13" spans="1:6" ht="26.4" customHeight="1">
      <c r="A13" s="26" t="s">
        <v>251</v>
      </c>
      <c r="B13" s="19" t="s">
        <v>252</v>
      </c>
      <c r="C13" s="49" t="s">
        <v>253</v>
      </c>
      <c r="D13" s="46">
        <v>46230</v>
      </c>
      <c r="E13" s="19" t="s">
        <v>254</v>
      </c>
      <c r="F13" s="19" t="s">
        <v>255</v>
      </c>
    </row>
    <row r="14" spans="1:6" ht="15" customHeight="1">
      <c r="A14" s="26" t="s">
        <v>256</v>
      </c>
      <c r="B14" s="19" t="s">
        <v>257</v>
      </c>
      <c r="C14" s="49" t="s">
        <v>258</v>
      </c>
      <c r="D14" s="46">
        <v>46230</v>
      </c>
      <c r="E14" s="19" t="s">
        <v>224</v>
      </c>
      <c r="F14" s="19" t="s">
        <v>259</v>
      </c>
    </row>
    <row r="15" spans="1:6" ht="15" customHeight="1">
      <c r="A15" s="26" t="s">
        <v>260</v>
      </c>
      <c r="B15" s="19" t="s">
        <v>261</v>
      </c>
      <c r="C15" s="49" t="s">
        <v>37</v>
      </c>
      <c r="D15" s="46">
        <v>46230</v>
      </c>
      <c r="E15" s="19" t="s">
        <v>262</v>
      </c>
      <c r="F15" s="19" t="s">
        <v>263</v>
      </c>
    </row>
    <row r="16" spans="1:6" ht="26.4" customHeight="1">
      <c r="A16" s="26" t="s">
        <v>264</v>
      </c>
      <c r="B16" s="19" t="s">
        <v>265</v>
      </c>
      <c r="C16" s="49" t="s">
        <v>266</v>
      </c>
      <c r="D16" s="46">
        <v>46230</v>
      </c>
      <c r="E16" s="19" t="s">
        <v>224</v>
      </c>
      <c r="F16" s="19" t="s">
        <v>267</v>
      </c>
    </row>
    <row r="17" spans="1:6" ht="26.4" customHeight="1">
      <c r="A17" s="26" t="s">
        <v>268</v>
      </c>
      <c r="B17" s="19" t="s">
        <v>269</v>
      </c>
      <c r="C17" s="49" t="s">
        <v>51</v>
      </c>
      <c r="D17" s="46">
        <v>46230</v>
      </c>
      <c r="E17" s="19" t="s">
        <v>270</v>
      </c>
      <c r="F17" s="19" t="s">
        <v>271</v>
      </c>
    </row>
    <row r="18" spans="1:6" ht="39.6" customHeight="1">
      <c r="A18" s="27" t="s">
        <v>272</v>
      </c>
      <c r="B18" s="24" t="s">
        <v>273</v>
      </c>
      <c r="C18" s="50" t="s">
        <v>274</v>
      </c>
      <c r="D18" s="47">
        <v>46230</v>
      </c>
      <c r="E18" s="24" t="s">
        <v>249</v>
      </c>
      <c r="F18" s="24" t="s">
        <v>275</v>
      </c>
    </row>
  </sheetData>
  <mergeCells count="2">
    <mergeCell ref="A1:F1"/>
    <mergeCell ref="A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6BD903235CFA45B0F2EDD71037C7F2" ma:contentTypeVersion="14" ma:contentTypeDescription="Create a new document." ma:contentTypeScope="" ma:versionID="bd506ddd97571146a9859e93cf47a1ad">
  <xsd:schema xmlns:xsd="http://www.w3.org/2001/XMLSchema" xmlns:xs="http://www.w3.org/2001/XMLSchema" xmlns:p="http://schemas.microsoft.com/office/2006/metadata/properties" xmlns:ns1="http://schemas.microsoft.com/sharepoint/v3" xmlns:ns2="07917977-acec-43c0-bcab-b4099c97bf9c" targetNamespace="http://schemas.microsoft.com/office/2006/metadata/properties" ma:root="true" ma:fieldsID="21de2a7e372e0a7894bfa2af136577de" ns1:_="" ns2:_="">
    <xsd:import namespace="http://schemas.microsoft.com/sharepoint/v3"/>
    <xsd:import namespace="07917977-acec-43c0-bcab-b4099c97b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ocumentTitl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17977-acec-43c0-bcab-b4099c97bf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f940dd0-a41d-4973-9e5f-f26d64915a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ocumentTitle" ma:index="19" nillable="true" ma:displayName="Document Title" ma:format="Dropdown" ma:internalName="DocumentTitl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7917977-acec-43c0-bcab-b4099c97bf9c">
      <Terms xmlns="http://schemas.microsoft.com/office/infopath/2007/PartnerControls"/>
    </lcf76f155ced4ddcb4097134ff3c332f>
    <DocumentTitle xmlns="07917977-acec-43c0-bcab-b4099c97bf9c" xsi:nil="true"/>
  </documentManagement>
</p:properties>
</file>

<file path=customXml/itemProps1.xml><?xml version="1.0" encoding="utf-8"?>
<ds:datastoreItem xmlns:ds="http://schemas.openxmlformats.org/officeDocument/2006/customXml" ds:itemID="{31FD003F-79E6-4D91-80CC-9998ADBAD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917977-acec-43c0-bcab-b4099c97b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F66F0E-BF0B-4F88-824C-3A5B57AD5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C18D19-652C-4937-8CFC-0E352A5B2B2C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sharepoint/v3"/>
    <ds:schemaRef ds:uri="http://purl.org/dc/elements/1.1/"/>
    <ds:schemaRef ds:uri="07917977-acec-43c0-bcab-b4099c97bf9c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</vt:lpstr>
      <vt:lpstr>Category Model</vt:lpstr>
      <vt:lpstr>Decision Guide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Bellis</dc:creator>
  <cp:lastModifiedBy>Bellis Thomas (RBT) Mid Cheshire Tr</cp:lastModifiedBy>
  <dcterms:created xsi:type="dcterms:W3CDTF">2026-07-31T08:27:56Z</dcterms:created>
  <dcterms:modified xsi:type="dcterms:W3CDTF">2026-07-31T10:03:14Z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0x0101006A6BD903235CFA45B0F2EDD71037C7F2</vt:lpwstr>
  </property>
</Properties>
</file>